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f2e8696d4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77252de68f4a0d"/>
    <x:sheet xmlns:r="http://schemas.openxmlformats.org/officeDocument/2006/relationships" name="Reading Matrix" sheetId="2" r:id="R7355deaef0ea44ef"/>
    <x:sheet xmlns:r="http://schemas.openxmlformats.org/officeDocument/2006/relationships" name="Style Patterns" sheetId="3" r:id="R771e64223831466e"/>
    <x:sheet xmlns:r="http://schemas.openxmlformats.org/officeDocument/2006/relationships" name="Noncopy Boundaries" sheetId="4" r:id="R6a63a35cd6e44492"/>
    <x:sheet xmlns:r="http://schemas.openxmlformats.org/officeDocument/2006/relationships" name="Verification Log" sheetId="5" r:id="Ra1519da0f11b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9"/>
      <x:color rgb="FF1F2937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sz val="8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cdf501fe14102" /><Relationship Type="http://schemas.openxmlformats.org/officeDocument/2006/relationships/theme" Target="/xl/theme/theme1.xml" Id="Rb303d6bdbf8c493b" /><Relationship Type="http://schemas.openxmlformats.org/officeDocument/2006/relationships/sharedStrings" Target="/xl/sharedStrings.xml" Id="Reede5538760c487e" /><Relationship Type="http://schemas.openxmlformats.org/officeDocument/2006/relationships/worksheet" Target="/xl/worksheets/sheet1.xml" Id="Rca77252de68f4a0d" /><Relationship Type="http://schemas.openxmlformats.org/officeDocument/2006/relationships/worksheet" Target="/xl/worksheets/sheet2.xml" Id="R7355deaef0ea44ef" /><Relationship Type="http://schemas.openxmlformats.org/officeDocument/2006/relationships/worksheet" Target="/xl/worksheets/sheet3.xml" Id="R771e64223831466e" /><Relationship Type="http://schemas.openxmlformats.org/officeDocument/2006/relationships/worksheet" Target="/xl/worksheets/sheet4.xml" Id="R6a63a35cd6e44492" /><Relationship Type="http://schemas.openxmlformats.org/officeDocument/2006/relationships/worksheet" Target="/xl/worksheets/sheet5.xml" Id="Ra1519da0f11b43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2" hidden="0" customWidth="1"/>
  </x:cols>
  <x:sheetData>
    <x:row r="1" ht="28" customHeight="1">
      <x:c r="A1" s="3" t="str">
        <x:v>EAAI Full-text Reading Matrix v2</x:v>
      </x:c>
      <x:c r="B1" s="3"/>
      <x:c r="C1" s="3"/>
      <x:c r="D1" s="3"/>
      <x:c r="E1" s="3"/>
      <x:c r="F1" s="3"/>
    </x:row>
    <x:row r="2" ht="40" customHeight="1">
      <x:c r="A2" s="7" t="str">
        <x:v>All twelve acquired PDFs were read in full. This workbook records scientific functions and non-copy boundaries; it is not a sentence bank.</x:v>
      </x:c>
      <x:c r="B2" s="7"/>
      <x:c r="C2" s="7"/>
      <x:c r="D2" s="7"/>
      <x:c r="E2" s="7"/>
      <x:c r="F2" s="7"/>
    </x:row>
    <x:row r="4">
      <x:c r="A4" s="10" t="str">
        <x:v>Target journal</x:v>
      </x:c>
      <x:c r="B4" s="13" t="str">
        <x:v>Engineering Applications of Artificial Intelligence</x:v>
      </x:c>
    </x:row>
    <x:row r="5">
      <x:c r="A5" s="10" t="str">
        <x:v>Article type</x:v>
      </x:c>
      <x:c r="B5" s="13" t="str">
        <x:v>Research article / Original Research</x:v>
      </x:c>
    </x:row>
    <x:row r="6">
      <x:c r="A6" s="10" t="str">
        <x:v>Full texts acquired</x:v>
      </x:c>
      <x:c r="B6" s="13" t="n">
        <x:v>12</x:v>
      </x:c>
    </x:row>
    <x:row r="7">
      <x:c r="A7" s="10" t="str">
        <x:v>Full-text records complete</x:v>
      </x:c>
      <x:c r="B7" s="13" t="n">
        <x:v>12</x:v>
      </x:c>
    </x:row>
    <x:row r="8">
      <x:c r="A8" s="10" t="str">
        <x:v>Total PDF pages</x:v>
      </x:c>
      <x:c r="B8" s="13" t="n">
        <x:v>194</x:v>
      </x:c>
    </x:row>
    <x:row r="9">
      <x:c r="A9" s="10" t="str">
        <x:v>S-High patterns</x:v>
      </x:c>
      <x:c r="B9" s="13" t="n">
        <x:v>10</x:v>
      </x:c>
    </x:row>
    <x:row r="10">
      <x:c r="A10" s="10" t="str">
        <x:v>S-Medium patterns</x:v>
      </x:c>
      <x:c r="B10" s="13" t="n">
        <x:v>2</x:v>
      </x:c>
    </x:row>
    <x:row r="11">
      <x:c r="A11" s="10" t="str">
        <x:v>O/Low patterns</x:v>
      </x:c>
      <x:c r="B11" s="13" t="n">
        <x:v>4</x:v>
      </x:c>
    </x:row>
    <x:row r="12">
      <x:c r="A12" s="10" t="str">
        <x:v>Strength gate</x:v>
      </x:c>
      <x:c r="B12" s="13" t="str">
        <x:v>S-High requires occurrence in at least five papers and at least 70% of the comparable subset. Lower-frequency patterns are S-Medium or O/Low and are not treated as journal requirements.</x:v>
      </x:c>
    </x:row>
    <x:row r="13">
      <x:c r="A13" s="10" t="str">
        <x:v>Prepared</x:v>
      </x:c>
      <x:c r="B13" s="13" t="str">
        <x:v>2026-08-09</x:v>
      </x:c>
    </x:row>
    <x:row r="15" ht="22" customHeight="1">
      <x:c r="A15" s="15" t="str">
        <x:v>Interpretation control</x:v>
      </x:c>
      <x:c r="B15" s="15"/>
      <x:c r="C15" s="15"/>
      <x:c r="D15" s="15"/>
      <x:c r="E15" s="15"/>
      <x:c r="F15" s="15"/>
    </x:row>
    <x:row r="16">
      <x:c r="A16" s="13" t="str">
        <x:v>A frequent pattern is not an official author-guide requirement. It becomes a working style convention only after passing the frequency/comparability gate. Paper-specific language, equations, data, parameters, figure layouts and citation clusters remain prohibited.</x:v>
      </x:c>
      <x:c r="B16" s="13"/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</x:sheetData>
  <x:mergeCells>
    <x:mergeCell ref="A1:F1"/>
    <x:mergeCell ref="A2:F2"/>
    <x:mergeCell ref="A15:F15"/>
    <x:mergeCell ref="A16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" hidden="0" customWidth="1"/>
    <x:col min="3" max="3" width="52" hidden="0" customWidth="1"/>
    <x:col min="4" max="4" width="30" hidden="0" customWidth="1"/>
    <x:col min="5" max="5" width="8" hidden="0" customWidth="1"/>
    <x:col min="6" max="6" width="67" hidden="0" customWidth="1"/>
    <x:col min="7" max="7" width="16" hidden="0" customWidth="1"/>
    <x:col min="8" max="8" width="16" hidden="0" customWidth="1"/>
    <x:col min="9" max="9" width="46" hidden="0" customWidth="1"/>
    <x:col min="10" max="10" width="52" hidden="0" customWidth="1"/>
    <x:col min="11" max="11" width="50" hidden="0" customWidth="1"/>
    <x:col min="12" max="12" width="52" hidden="0" customWidth="1"/>
    <x:col min="13" max="13" width="48" hidden="0" customWidth="1"/>
    <x:col min="14" max="14" width="46" hidden="0" customWidth="1"/>
    <x:col min="15" max="15" width="50" hidden="0" customWidth="1"/>
    <x:col min="16" max="16" width="54" hidden="0" customWidth="1"/>
    <x:col min="17" max="17" width="12" hidden="0" customWidth="1"/>
  </x:cols>
  <x:sheetData>
    <x:row r="1" ht="28" customHeight="1">
      <x:c r="A1" s="3" t="str">
        <x:v>Twelve complete-paper reading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0" customHeight="1">
      <x:c r="A2" s="7" t="str">
        <x:v>Each row summarises one complete-PDF reading. Use the Markdown note for finer paper-level detail.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15" hidden="0" customHeight="1">
      <x:c r="A4" s="20" t="str">
        <x:v>No.</x:v>
      </x:c>
      <x:c r="B4" s="20" t="str">
        <x:v>Year</x:v>
      </x:c>
      <x:c r="C4" s="20" t="str">
        <x:v>Title</x:v>
      </x:c>
      <x:c r="D4" s="20" t="str">
        <x:v>DOI</x:v>
      </x:c>
      <x:c r="E4" s="20" t="str">
        <x:v>Pages</x:v>
      </x:c>
      <x:c r="F4" s="20" t="str">
        <x:v>SHA-256</x:v>
      </x:c>
      <x:c r="G4" s="20" t="str">
        <x:v>Article type</x:v>
      </x:c>
      <x:c r="H4" s="20" t="str">
        <x:v>Comparability</x:v>
      </x:c>
      <x:c r="I4" s="20" t="str">
        <x:v>Introduction move</x:v>
      </x:c>
      <x:c r="J4" s="20" t="str">
        <x:v>Methods granularity</x:v>
      </x:c>
      <x:c r="K4" s="20" t="str">
        <x:v>Results logic</x:v>
      </x:c>
      <x:c r="L4" s="20" t="str">
        <x:v>Discussion / claim boundary</x:v>
      </x:c>
      <x:c r="M4" s="20" t="str">
        <x:v>Figure and table role</x:v>
      </x:c>
      <x:c r="N4" s="20" t="str">
        <x:v>Citation function</x:v>
      </x:c>
      <x:c r="O4" s="20" t="str">
        <x:v>Uncertainty and claim strength</x:v>
      </x:c>
      <x:c r="P4" s="20" t="str">
        <x:v>Non-copy boundary</x:v>
      </x:c>
      <x:c r="Q4" s="20" t="str">
        <x:v>Status</x:v>
      </x:c>
    </x:row>
    <x:row r="5" ht="19.200000762939453" hidden="0" customHeight="1">
      <x:c r="A5" s="25" t="n">
        <x:v>1</x:v>
      </x:c>
      <x:c r="B5" s="25" t="n">
        <x:v>2026</x:v>
      </x:c>
      <x:c r="C5" s="24" t="str">
        <x:v>Deep reinforcement learning for periodic Unmanned Aerial Vehicle task allocation and path planning with a Fixed Nest Station in power inspection</x:v>
      </x:c>
      <x:c r="D5" s="24" t="str">
        <x:v>10.1016/j.engappai.2026.115219</x:v>
      </x:c>
      <x:c r="E5" s="25" t="n">
        <x:v>16</x:v>
      </x:c>
      <x:c r="F5" s="24" t="str">
        <x:v>c41438e408773c9ede8c1eec90a185da6705bc7557c6860c8e567afe22026fbd</x:v>
      </x:c>
      <x:c r="G5" s="24" t="str">
        <x:v>Research paper</x:v>
      </x:c>
      <x:c r="H5" s="24" t="str">
        <x:v>High</x:v>
      </x:c>
      <x:c r="I5" s="24" t="str">
        <x:v>Engineering inspection requirements → three combinatorial challenges → mechanism-to-problem contributions.</x:v>
      </x:c>
      <x:c r="J5" s="24" t="str">
        <x:v>Graph/MILP and MDP before pruning, attention actor–critic, reward and algorithm; notation, pseudocode and parameters supplied.</x:v>
      </x:c>
      <x:c r="K5" s="24" t="str">
        <x:v>Training → exact small-scale verification → large-scale multi-metric comparison → ablation → sensitivity.</x:v>
      </x:c>
      <x:c r="L5" s="24" t="str">
        <x:v>Trade-offs are visible, but some feasibility/generalisation wording exceeds the evidence and is excluded from the model style.</x:v>
      </x:c>
      <x:c r="M5" s="24" t="str">
        <x:v>Scenario/formulation, architecture, training, metrics, distributions, trade-off, ablation and route evidence form a sequential argument.</x:v>
      </x:c>
      <x:c r="N5" s="24" t="str">
        <x:v>Mechanism-organised review; citations locate exact scheduling, topology and DRL gaps.</x:v>
      </x:c>
      <x:c r="O5" s="24" t="str">
        <x:v>Ten independent runs and solver status support bounded comparisons; no universal deployment claim.</x:v>
      </x:c>
      <x:c r="P5" s="24" t="str">
        <x:v>Periodic-frequency model, 28-day horizon, MILP/DSP/TAA equations, FE indicator, parameters, results, wording and reference combination.</x:v>
      </x:c>
      <x:c r="Q5" s="26" t="str">
        <x:v>Complete</x:v>
      </x:c>
    </x:row>
    <x:row r="6" ht="19.200000762939453" hidden="0" customHeight="1">
      <x:c r="A6" s="25" t="n">
        <x:v>2</x:v>
      </x:c>
      <x:c r="B6" s="25" t="n">
        <x:v>2026</x:v>
      </x:c>
      <x:c r="C6" s="24" t="str">
        <x:v>Asynchronous multithreading reinforcement learning with attention-based significance measurement for collision-free robot navigation</x:v>
      </x:c>
      <x:c r="D6" s="24" t="str">
        <x:v>10.1016/j.engappai.2026.113779</x:v>
      </x:c>
      <x:c r="E6" s="25" t="n">
        <x:v>17</x:v>
      </x:c>
      <x:c r="F6" s="24" t="str">
        <x:v>2f612ac4dbd9505bc137375e9792031fec60e21839548e55200266de5a2e1d0b</x:v>
      </x:c>
      <x:c r="G6" s="24" t="str">
        <x:v>Research paper</x:v>
      </x:c>
      <x:c r="H6" s="24" t="str">
        <x:v>Medium</x:v>
      </x:c>
      <x:c r="I6" s="24" t="str">
        <x:v>Safety need → navigation-method taxonomy and comparison table → deficiencies → contributions.</x:v>
      </x:c>
      <x:c r="J6" s="24" t="str">
        <x:v>POMDP and executable control precede system, observation/action/reward, replay significance, attention and PPO training.</x:v>
      </x:c>
      <x:c r="K6" s="24" t="str">
        <x:v>Ablations/configurations → sensitivity → unseen scenarios → stress/scaling → physical validation.</x:v>
      </x:c>
      <x:c r="L6" s="24" t="str">
        <x:v>Simulation and real-robot evidence are separated; local failure limits are reported, while unsupported superlatives are not imitated.</x:v>
      </x:c>
      <x:c r="M6" s="24" t="str">
        <x:v>Configuration tables define interventions; progressively harder tests and runtime decomposition support engineering claims.</x:v>
      </x:c>
      <x:c r="N6" s="24" t="str">
        <x:v>Taxonomy and comparison table connect prior mechanisms to explicit limitations.</x:v>
      </x:c>
      <x:c r="O6" s="24" t="str">
        <x:v>Sample counts and metric denominators are stated; physical claims remain limited to the disclosed platform and protocol.</x:v>
      </x:c>
      <x:c r="P6" s="24" t="str">
        <x:v>ASMAC/SMRR/LAM, reward, asynchronous workers, sensor/control details, scenarios, metrics, runtime and physical-validation rhetoric.</x:v>
      </x:c>
      <x:c r="Q6" s="26" t="str">
        <x:v>Complete</x:v>
      </x:c>
    </x:row>
    <x:row r="7" ht="19.200000762939453" hidden="0" customHeight="1">
      <x:c r="A7" s="25" t="n">
        <x:v>3</x:v>
      </x:c>
      <x:c r="B7" s="25" t="n">
        <x:v>2025</x:v>
      </x:c>
      <x:c r="C7" s="24" t="str">
        <x:v>Situation-aware deep reinforcement learning for unmanned aerial vehicle swarm navigation in dynamic multi-obstacle environments</x:v>
      </x:c>
      <x:c r="D7" s="24" t="str">
        <x:v>10.1016/j.engappai.2025.113518</x:v>
      </x:c>
      <x:c r="E7" s="25" t="n">
        <x:v>20</x:v>
      </x:c>
      <x:c r="F7" s="24" t="str">
        <x:v>e2d5a54a936fb464252a578bfb4424c137587538d2a9efbdeca5756234d61f6c</x:v>
      </x:c>
      <x:c r="G7" s="24" t="str">
        <x:v>Research paper</x:v>
      </x:c>
      <x:c r="H7" s="24" t="str">
        <x:v>Medium–high</x:v>
      </x:c>
      <x:c r="I7" s="24" t="str">
        <x:v>Dynamic swarm task → method taxonomy → three deficiencies → module-level contributions.</x:v>
      </x:c>
      <x:c r="J7" s="24" t="str">
        <x:v>Notation and component sections culminate in integrated data flow, pseudocode, reward, uncertainty and convergence discussion.</x:v>
      </x:c>
      <x:c r="K7" s="24" t="str">
        <x:v>Protocol roadmap → weights/filter/training comparisons → statistics → ablation → scaling → extreme conditions → synthesis.</x:v>
      </x:c>
      <x:c r="L7" s="24" t="str">
        <x:v>Significance and effect size are paired; important non-significant and adverse training-cost outcomes remain visible.</x:v>
      </x:c>
      <x:c r="M7" s="24" t="str">
        <x:v>Plots and synthesis tables connect training, robustness, scaling and component evidence.</x:v>
      </x:c>
      <x:c r="N7" s="24" t="str">
        <x:v>References are grouped by the exact sensing, optimisation and learning deficiencies addressed.</x:v>
      </x:c>
      <x:c r="O7" s="24" t="str">
        <x:v>Monte Carlo means/SD, effect sizes and named perturbations support qualified robustness claims, not causal proof of every module.</x:v>
      </x:c>
      <x:c r="P7" s="24" t="str">
        <x:v>AHF/SAPO/CNN-LSTM/DDPG, reward and uncertainty models, parameters, convergence language, results and references.</x:v>
      </x:c>
      <x:c r="Q7" s="26" t="str">
        <x:v>Complete</x:v>
      </x:c>
    </x:row>
    <x:row r="8" ht="19.200000762939453" hidden="0" customHeight="1">
      <x:c r="A8" s="25" t="n">
        <x:v>4</x:v>
      </x:c>
      <x:c r="B8" s="25" t="n">
        <x:v>2025</x:v>
      </x:c>
      <x:c r="C8" s="24" t="str">
        <x:v>Evaluating reinforcement learning-based neural controllers for quadcopter navigation in windy conditions</x:v>
      </x:c>
      <x:c r="D8" s="24" t="str">
        <x:v>10.1016/j.engappai.2025.112090</x:v>
      </x:c>
      <x:c r="E8" s="25" t="n">
        <x:v>18</x:v>
      </x:c>
      <x:c r="F8" s="24" t="str">
        <x:v>f61ac26e7ffe6c07b7fb00d7a7a510a5727c6fa46b5173878fc49703ab8a3ba4</x:v>
      </x:c>
      <x:c r="G8" s="24" t="str">
        <x:v>Research paper</x:v>
      </x:c>
      <x:c r="H8" s="24" t="str">
        <x:v>High</x:v>
      </x:c>
      <x:c r="I8" s="24" t="str">
        <x:v>Wind-disturbed waypoint problem → gap in training design/state representation → evaluated factors and contributions.</x:v>
      </x:c>
      <x:c r="J8" s="24" t="str">
        <x:v>MDP/PPO/SHAP preliminaries precede task, variants, simulator, baselines, protocol and operational metrics.</x:v>
      </x:c>
      <x:c r="K8" s="24" t="str">
        <x:v>Classical baseline → training-condition variants → state variants → cautious feature attribution; disaggregated routes in appendix.</x:v>
      </x:c>
      <x:c r="L8" s="24" t="str">
        <x:v>Neutral/detrimental variants and nominal-versus-robustness costs are retained; simulation-to-real boundary is explicit.</x:v>
      </x:c>
      <x:c r="M8" s="24" t="str">
        <x:v>Aggregate main plots establish conclusions; trajectory-specific appendix evidence explains heterogeneity.</x:v>
      </x:c>
      <x:c r="N8" s="24" t="str">
        <x:v>Related work is split by control, wind robustness and explainability functions.</x:v>
      </x:c>
      <x:c r="O8" s="24" t="str">
        <x:v>Training seeds and repeated rollouts support evaluation claims; SHAP observations are not causal explanations.</x:v>
      </x:c>
      <x:c r="P8" s="24" t="str">
        <x:v>AirSim wind model, trajectories, controller parameters, SHAP, state variables, tolerances, results and physical-system suggestions.</x:v>
      </x:c>
      <x:c r="Q8" s="26" t="str">
        <x:v>Complete</x:v>
      </x:c>
    </x:row>
    <x:row r="9" ht="19.200000762939453" hidden="0" customHeight="1">
      <x:c r="A9" s="25" t="n">
        <x:v>5</x:v>
      </x:c>
      <x:c r="B9" s="25" t="n">
        <x:v>2025</x:v>
      </x:c>
      <x:c r="C9" s="24" t="str">
        <x:v>Human-in-the-loop reinforcement learning for dynamic soaring: A trajectory planning and control integrated system</x:v>
      </x:c>
      <x:c r="D9" s="24" t="str">
        <x:v>10.1016/j.engappai.2025.111219</x:v>
      </x:c>
      <x:c r="E9" s="25" t="n">
        <x:v>19</x:v>
      </x:c>
      <x:c r="F9" s="24" t="str">
        <x:v>18a42d336cce3ea12d0e5b1515252425bc11692aedfdb9ed65d72d3e18921ab5</x:v>
      </x:c>
      <x:c r="G9" s="24" t="str">
        <x:v>Research paper</x:v>
      </x:c>
      <x:c r="H9" s="24" t="str">
        <x:v>Medium</x:v>
      </x:c>
      <x:c r="I9" s="24" t="str">
        <x:v>Motivation and physical challenge → optimal-control limitations → integrated HITL contribution.</x:v>
      </x:c>
      <x:c r="J9" s="24" t="str">
        <x:v>Reference optimiser and environment fidelity precede the human–DRL loop, SAC, phase reward, criteria and network.</x:v>
      </x:c>
      <x:c r="K9" s="24" t="str">
        <x:v>Reference → HITL comparison → state/action traces → wind/initialisation perturbations → dedicated limitations.</x:v>
      </x:c>
      <x:c r="L9" s="24" t="str">
        <x:v>Adverse time, footprint, sensitivity and training cost are reported; convergence, transfer and flight limits are explicit.</x:v>
      </x:c>
      <x:c r="M9" s="24" t="str">
        <x:v>3D routes, projections and state/action histories jointly expose feasibility and failure sensitivity.</x:v>
      </x:c>
      <x:c r="N9" s="24" t="str">
        <x:v>Problem-specific optimal-control, RL and HITL evidence constructs the gap without supplying a transferable reference set.</x:v>
      </x:c>
      <x:c r="O9" s="24" t="str">
        <x:v>Perturbation-specific observations support simulation feasibility only; no real-flight readiness claim.</x:v>
      </x:c>
      <x:c r="P9" s="24" t="str">
        <x:v>Dynamic-soaring formulation, GPOPS/SNOPT, SAC/HITL loop, rewards, aerodynamics, thresholds, findings and references.</x:v>
      </x:c>
      <x:c r="Q9" s="26" t="str">
        <x:v>Complete</x:v>
      </x:c>
    </x:row>
    <x:row r="10" ht="19.200000762939453" hidden="0" customHeight="1">
      <x:c r="A10" s="25" t="n">
        <x:v>6</x:v>
      </x:c>
      <x:c r="B10" s="25" t="n">
        <x:v>2025</x:v>
      </x:c>
      <x:c r="C10" s="24" t="str">
        <x:v>Reinforcement learning based multi-perspective motion planning of manned electric vertical take-off and landing vehicle in urban environment with wind fields</x:v>
      </x:c>
      <x:c r="D10" s="24" t="str">
        <x:v>10.1016/j.engappai.2025.110392</x:v>
      </x:c>
      <x:c r="E10" s="25" t="n">
        <x:v>17</x:v>
      </x:c>
      <x:c r="F10" s="24" t="str">
        <x:v>0f389da7d22ae41352d6228e006dd9853ff7bd03510d55fd83f34e37362fd5b5</x:v>
      </x:c>
      <x:c r="G10" s="24" t="str">
        <x:v>Research paper</x:v>
      </x:c>
      <x:c r="H10" s="24" t="str">
        <x:v>High</x:v>
      </x:c>
      <x:c r="I10" s="24" t="str">
        <x:v>Aircraft/passenger/city perspectives → multi-objective coverage gap → five mapped contributions.</x:v>
      </x:c>
      <x:c r="J10" s="24" t="str">
        <x:v>POMDP, action/observation/reward and external energy/noise/wind models precede PPO and experiment protocol.</x:v>
      </x:c>
      <x:c r="K10" s="24" t="str">
        <x:v>Implementation comparison → per-objective algorithm results → joint objective → component-removal ablation → limitations.</x:v>
      </x:c>
      <x:c r="L10" s="24" t="str">
        <x:v>Physical-model simplifications, training burden, scalarisation costs and individual comparator wins are preserved.</x:v>
      </x:c>
      <x:c r="M10" s="24" t="str">
        <x:v>Coverage tables make novelty auditable; result/ablation tables link objectives, failures and costs.</x:v>
      </x:c>
      <x:c r="N10" s="24" t="str">
        <x:v>Algorithm- and objective-coverage tables assign references to specific missing engineering dimensions.</x:v>
      </x:c>
      <x:c r="O10" s="24" t="str">
        <x:v>Named wind cases support scenario-bounded comparison; complex objectives are not declared globally optimal.</x:v>
      </x:c>
      <x:c r="P10" s="24" t="str">
        <x:v>eVTOL/Atlanta/CFD, passenger/acoustic models, modified PPO, rewards, weights, results and references.</x:v>
      </x:c>
      <x:c r="Q10" s="26" t="str">
        <x:v>Complete</x:v>
      </x:c>
    </x:row>
    <x:row r="11" ht="19.200000762939453" hidden="0" customHeight="1">
      <x:c r="A11" s="25" t="n">
        <x:v>7</x:v>
      </x:c>
      <x:c r="B11" s="25" t="n">
        <x:v>2024</x:v>
      </x:c>
      <x:c r="C11" s="24" t="str">
        <x:v>Path planning via reinforcement learning with closed-loop motion control and field tests</x:v>
      </x:c>
      <x:c r="D11" s="24" t="str">
        <x:v>10.1016/j.engappai.2024.109870</x:v>
      </x:c>
      <x:c r="E11" s="25" t="n">
        <x:v>13</x:v>
      </x:c>
      <x:c r="F11" s="24" t="str">
        <x:v>a6371468248b67346d1c2334992820e2490b39907528a23ac0a6174816a990d5</x:v>
      </x:c>
      <x:c r="G11" s="24" t="str">
        <x:v>Research paper</x:v>
      </x:c>
      <x:c r="H11" s="24" t="str">
        <x:v>Medium–high</x:v>
      </x:c>
      <x:c r="I11" s="24" t="str">
        <x:v>Dynamic feasibility and real-time requirement → layered architecture gap → planner/controller/field contributions.</x:v>
      </x:c>
      <x:c r="J11" s="24" t="str">
        <x:v>One-step RL and path representation are followed by complete vehicle, instrumentation and MPC sections.</x:v>
      </x:c>
      <x:c r="K11" s="24" t="str">
        <x:v>Algorithm × representation → randomisation → simulation comparator → controlled field tests.</x:v>
      </x:c>
      <x:c r="L11" s="24" t="str">
        <x:v>Planning/control latencies and simulation/field roles are separated; impossible scenarios and hierarchy drawbacks remain explicit.</x:v>
      </x:c>
      <x:c r="M11" s="24" t="str">
        <x:v>Training, domain shifts, execution error and field evidence support separate planning and control claims.</x:v>
      </x:c>
      <x:c r="N11" s="24" t="str">
        <x:v>Search, optimisation, RL and MPC references locate the real-time feasibility gap.</x:v>
      </x:c>
      <x:c r="O11" s="24" t="str">
        <x:v>Field claims are limited to disclosed runs/hardware; domain-randomised training is not treated as universal transfer.</x:v>
      </x:c>
      <x:c r="P11" s="24" t="str">
        <x:v>ISO manoeuvre, TD3/MPC, polynomial path, vehicle models/hardware, timing, randomisation and field-test claims.</x:v>
      </x:c>
      <x:c r="Q11" s="26" t="str">
        <x:v>Complete</x:v>
      </x:c>
    </x:row>
    <x:row r="12" ht="19.200000762939453" hidden="0" customHeight="1">
      <x:c r="A12" s="25" t="n">
        <x:v>8</x:v>
      </x:c>
      <x:c r="B12" s="25" t="n">
        <x:v>2024</x:v>
      </x:c>
      <x:c r="C12" s="24" t="str">
        <x:v>Layered learning in a quadrotor drone: Simultaneous controlling and path planning using optimal fuzzy fractional order proportional integral derivative and proximal policy optimization</x:v>
      </x:c>
      <x:c r="D12" s="24" t="str">
        <x:v>10.1016/j.engappai.2024.108926</x:v>
      </x:c>
      <x:c r="E12" s="25" t="n">
        <x:v>19</x:v>
      </x:c>
      <x:c r="F12" s="24" t="str">
        <x:v>d713a4adf45bee91082ea5b07df47f68d44d33a94342f11b0393b5d020149721</x:v>
      </x:c>
      <x:c r="G12" s="24" t="str">
        <x:v>Research paper</x:v>
      </x:c>
      <x:c r="H12" s="24" t="str">
        <x:v>Medium</x:v>
      </x:c>
      <x:c r="I12" s="24" t="str">
        <x:v>Controller/planner survey → layered architecture preview.</x:v>
      </x:c>
      <x:c r="J12" s="24" t="str">
        <x:v>Dynamics and lower-level controller optimisation precede PPO state/action/reward and manoeuvre constraints.</x:v>
      </x:c>
      <x:c r="K12" s="24" t="str">
        <x:v>Controller responses → PPO/network results → test stand → disturbances → qualitative loop flight.</x:v>
      </x:c>
      <x:c r="L12" s="24" t="str">
        <x:v>Simulation dependence, lab mismatch and local optima are stated; qualitative flight evidence is not a quantitative validation model.</x:v>
      </x:c>
      <x:c r="M12" s="24" t="str">
        <x:v>Physical response metrics and hardware tables support controller claims; high-level flight evidence remains largely qualitative.</x:v>
      </x:c>
      <x:c r="N12" s="24" t="str">
        <x:v>Broad control/optimisation/DRL survey supports the layered architecture rationale.</x:v>
      </x:c>
      <x:c r="O12" s="24" t="str">
        <x:v>No replicated uncertainty reporting; therefore its practices cannot establish a high-strength journal convention.</x:v>
      </x:c>
      <x:c r="P12" s="24" t="str">
        <x:v>Fuzzy/FOPID/GA/PSO/Taguchi, dynamics, rewards, network, hardware, qualitative flight claims and references.</x:v>
      </x:c>
      <x:c r="Q12" s="26" t="str">
        <x:v>Complete</x:v>
      </x:c>
    </x:row>
    <x:row r="13" ht="19.200000762939453" hidden="0" customHeight="1">
      <x:c r="A13" s="25" t="n">
        <x:v>9</x:v>
      </x:c>
      <x:c r="B13" s="25" t="n">
        <x:v>2024</x:v>
      </x:c>
      <x:c r="C13" s="24" t="str">
        <x:v>Reinforcement learning based robot navigation using illegal actions for autonomous docking of surface vehicles in unknown environments</x:v>
      </x:c>
      <x:c r="D13" s="24" t="str">
        <x:v>10.1016/j.engappai.2024.108506</x:v>
      </x:c>
      <x:c r="E13" s="25" t="n">
        <x:v>20</x:v>
      </x:c>
      <x:c r="F13" s="24" t="str">
        <x:v>ea355c02d59c0eb6a7004b176568eaa761077ab0bc6572b97f844775ab6ff220</x:v>
      </x:c>
      <x:c r="G13" s="24" t="str">
        <x:v>Research paper</x:v>
      </x:c>
      <x:c r="H13" s="24" t="str">
        <x:v>High</x:v>
      </x:c>
      <x:c r="I13" s="24" t="str">
        <x:v>Safety-critical docking gap → perception-to-action RL, mask mechanism and tiered validation contributions.</x:v>
      </x:c>
      <x:c r="J13" s="24" t="str">
        <x:v>A2C/PPO precede navigation states/actions/rewards and the training-only illegal-action mask.</x:v>
      </x:c>
      <x:c r="K13" s="24" t="str">
        <x:v>Mask variants → learning behaviour → robustness/unseen layouts → A* quality–time comparison → two physical tiers.</x:v>
      </x:c>
      <x:c r="L13" s="24" t="str">
        <x:v>Training-only masking is separated from testing; comparator advantages, failures and physical-tier limits are reported.</x:v>
      </x:c>
      <x:c r="M13" s="24" t="str">
        <x:v>Curves, event diagnostics, route quality, processing time and action traces explain distinct aspects of behaviour.</x:v>
      </x:c>
      <x:c r="N13" s="24" t="str">
        <x:v>Prior work is organised by route tracking, high-level decisions, simulation-only limitations and deployment loss.</x:v>
      </x:c>
      <x:c r="O13" s="24" t="str">
        <x:v>Ten training instances and repeated scenario episodes support bounded mask and robustness claims, not independent effects of all internal rules.</x:v>
      </x:c>
      <x:c r="P13" s="24" t="str">
        <x:v>Docking states/actions, illegal-action windows, reward, curriculum, sea conditions, A* settings, hardware and physical results.</x:v>
      </x:c>
      <x:c r="Q13" s="26" t="str">
        <x:v>Complete</x:v>
      </x:c>
    </x:row>
    <x:row r="14" ht="19.200000762939453" hidden="0" customHeight="1">
      <x:c r="A14" s="25" t="n">
        <x:v>10</x:v>
      </x:c>
      <x:c r="B14" s="25" t="n">
        <x:v>2024</x:v>
      </x:c>
      <x:c r="C14" s="24" t="str">
        <x:v>A reliable traversability learning method based on human-demonstrated risk cost mapping for mobile robots over uneven terrain</x:v>
      </x:c>
      <x:c r="D14" s="24" t="str">
        <x:v>10.1016/j.engappai.2024.109339</x:v>
      </x:c>
      <x:c r="E14" s="25" t="n">
        <x:v>10</x:v>
      </x:c>
      <x:c r="F14" s="24" t="str">
        <x:v>b466b4ce7823983b091cd5ff903848f261091761a2f3bdabe1983451583bcf0d</x:v>
      </x:c>
      <x:c r="G14" s="24" t="str">
        <x:v>Research paper</x:v>
      </x:c>
      <x:c r="H14" s="24" t="str">
        <x:v>Medium–high</x:v>
      </x:c>
      <x:c r="I14" s="24" t="str">
        <x:v>Manual terrain rewards as bottleneck → learned risk preference → feature/IRL/planning contributions.</x:v>
      </x:c>
      <x:c r="J14" s="24" t="str">
        <x:v>Notation and two-stage formulation precede feature extraction, MCE IRL, cost map and Hybrid A*.</x:v>
      </x:c>
      <x:c r="K14" s="24" t="str">
        <x:v>Cost-function isolation → hardware/protocol → training/generalisation scenarios → supervision sensitivity → baselines.</x:v>
      </x:c>
      <x:c r="L14" s="24" t="str">
        <x:v>Risk–distance–time trade-off, metric applicability and comparator wins are explicit; OOD material/sensor limits are stated.</x:v>
      </x:c>
      <x:c r="M14" s="24" t="str">
        <x:v>Scenario and route evidence are paired with five operational metrics and sensitivity results.</x:v>
      </x:c>
      <x:c r="N14" s="24" t="str">
        <x:v>Demonstration, terrain-feature and navigation references each support one stage of the gap.</x:v>
      </x:c>
      <x:c r="O14" s="24" t="str">
        <x:v>Held-out scenarios contain no new demonstrations; time is interpreted against a stated operational requirement.</x:v>
      </x:c>
      <x:c r="P14" s="24" t="str">
        <x:v>MCE IRL, demonstrations, feature bins, Hybrid A*, scenarios, counts, hardware, numerical results and references.</x:v>
      </x:c>
      <x:c r="Q14" s="26" t="str">
        <x:v>Complete</x:v>
      </x:c>
    </x:row>
    <x:row r="15" ht="19.200000762939453" hidden="0" customHeight="1">
      <x:c r="A15" s="25" t="n">
        <x:v>11</x:v>
      </x:c>
      <x:c r="B15" s="25" t="n">
        <x:v>2023</x:v>
      </x:c>
      <x:c r="C15" s="24" t="str">
        <x:v>Subtask-masked curriculum learning for reinforcement learning with application to UAV maneuver decision-making</x:v>
      </x:c>
      <x:c r="D15" s="24" t="str">
        <x:v>10.1016/j.engappai.2023.106703</x:v>
      </x:c>
      <x:c r="E15" s="25" t="n">
        <x:v>14</x:v>
      </x:c>
      <x:c r="F15" s="24" t="str">
        <x:v>c8e304f95c1905d1438ee35b8cbc9446d0dc24ef0288e244f1a57cc45c30108f</x:v>
      </x:c>
      <x:c r="G15" s="24" t="str">
        <x:v>Research paper</x:v>
      </x:c>
      <x:c r="H15" s="24" t="str">
        <x:v>Medium</x:v>
      </x:c>
      <x:c r="I15" s="24" t="str">
        <x:v>Sparse reward/concurrent subtasks → curriculum limits → task/transfer masks.</x:v>
      </x:c>
      <x:c r="J15" s="24" t="str">
        <x:v>RL/TD3/curriculum background precedes concepts, sequencing, transfer, distillation and pseudocode.</x:v>
      </x:c>
      <x:c r="K15" s="24" t="str">
        <x:v>Question-led ablations → RL baselines → final-policy behaviour → expert comparison → limitations.</x:v>
      </x:c>
      <x:c r="L15" s="24" t="str">
        <x:v>Negative transfer and best-seed selection are disclosed; curve mechanisms are labelled as interpretations.</x:v>
      </x:c>
      <x:c r="M15" s="24" t="str">
        <x:v>Ten-seed mean/SD curves, final metrics and state traces separate learning speed from final behaviour.</x:v>
      </x:c>
      <x:c r="N15" s="24" t="str">
        <x:v>Hierarchical and curriculum references isolate the simultaneous-subtask and transfer gaps.</x:v>
      </x:c>
      <x:c r="O15" s="24" t="str">
        <x:v>Ten seeds support learning comparisons, but best-seed downstream evaluation limits population-level claims.</x:v>
      </x:c>
      <x:c r="P15" s="24" t="str">
        <x:v>Military manoeuvre, curriculum/task/transfer masks, TD3, distillation, expert policy, seed selection, results and references.</x:v>
      </x:c>
      <x:c r="Q15" s="26" t="str">
        <x:v>Complete</x:v>
      </x:c>
    </x:row>
    <x:row r="16" ht="19.200000762939453" hidden="0" customHeight="1">
      <x:c r="A16" s="25" t="n">
        <x:v>12</x:v>
      </x:c>
      <x:c r="B16" s="25" t="n">
        <x:v>2023</x:v>
      </x:c>
      <x:c r="C16" s="24" t="str">
        <x:v>Multi-UAV trajectory optimizer: A sustainable system for wireless data harvesting with deep reinforcement learning</x:v>
      </x:c>
      <x:c r="D16" s="24" t="str">
        <x:v>10.1016/j.engappai.2023.105891</x:v>
      </x:c>
      <x:c r="E16" s="25" t="n">
        <x:v>11</x:v>
      </x:c>
      <x:c r="F16" s="24" t="str">
        <x:v>34abae9c06434fad1da6f38523ce283db8ee9933fce88ff316b4d09a4430b081</x:v>
      </x:c>
      <x:c r="G16" s="24" t="str">
        <x:v>Research article</x:v>
      </x:c>
      <x:c r="H16" s="24" t="str">
        <x:v>Medium–high</x:v>
      </x:c>
      <x:c r="I16" s="24" t="str">
        <x:v>Persistent wireless harvesting → centralized/resource-awareness limits → multi-agent system.</x:v>
      </x:c>
      <x:c r="J16" s="24" t="str">
        <x:v>Environment, battery/charging and communication models precede Dec-POMDP, safety controller, reward, DDQN and transfer.</x:v>
      </x:c>
      <x:c r="K16" s="24" t="str">
        <x:v>Settings/baselines → transfer effect → routes → parameter effects/trade-offs → larger-map experiments.</x:v>
      </x:c>
      <x:c r="L16" s="24" t="str">
        <x:v>Safety controller is distinct from learning; conflicting objectives and retrained larger environments are reported without universal generalisation.</x:v>
      </x:c>
      <x:c r="M16" s="24" t="str">
        <x:v>Routes explain behaviour; Monte Carlo plots and tables support performance, sensitivity and scale claims.</x:v>
      </x:c>
      <x:c r="N16" s="24" t="str">
        <x:v>Routing and MARL literature motivates decentralisation and resource-aware decisions.</x:v>
      </x:c>
      <x:c r="O16" s="24" t="str">
        <x:v>99% CIs and 1000/300 Monte Carlo repetitions support simulation claims; post-hoc sweet spots remain exploratory.</x:v>
      </x:c>
      <x:c r="P16" s="24" t="str">
        <x:v>Wireless model, Dec-POMDP, MARL/DDQN, charging thresholds, rewards, grids, ranges, sweet spots, results and references.</x:v>
      </x:c>
      <x:c r="Q16" s="26" t="str">
        <x:v>Complete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8" hidden="0" customWidth="1"/>
    <x:col min="3" max="3" width="27" hidden="0" customWidth="1"/>
    <x:col min="4" max="4" width="10" hidden="0" customWidth="1"/>
    <x:col min="5" max="5" width="15" hidden="0" customWidth="1"/>
    <x:col min="6" max="6" width="12" hidden="0" customWidth="1"/>
    <x:col min="7" max="7" width="14" hidden="0" customWidth="1"/>
    <x:col min="8" max="8" width="52" hidden="0" customWidth="1"/>
    <x:col min="9" max="9" width="24" hidden="0" customWidth="1"/>
  </x:cols>
  <x:sheetData>
    <x:row r="1" ht="28" customHeight="1">
      <x:c r="A1" s="3" t="str">
        <x:v>Cross-paper style-frequency audit</x:v>
      </x:c>
      <x:c r="B1" s="3"/>
      <x:c r="C1" s="3"/>
      <x:c r="D1" s="3"/>
      <x:c r="E1" s="3"/>
      <x:c r="F1" s="3"/>
      <x:c r="G1" s="3"/>
      <x:c r="H1" s="3"/>
      <x:c r="I1" s="3"/>
    </x:row>
    <x:row r="2" ht="40" customHeight="1">
      <x:c r="A2" s="7" t="str">
        <x:v>S-High requires occurrence in at least five papers and at least 70% of the comparable subset. Lower-frequency patterns are S-Medium or O/Low and are not treated as journal requirements.</x:v>
      </x:c>
      <x:c r="B2" s="7"/>
      <x:c r="C2" s="7"/>
      <x:c r="D2" s="7"/>
      <x:c r="E2" s="7"/>
      <x:c r="F2" s="7"/>
      <x:c r="G2" s="7"/>
      <x:c r="H2" s="7"/>
      <x:c r="I2" s="7"/>
    </x:row>
    <x:row r="4" ht="15" hidden="0" customHeight="1">
      <x:c r="A4" s="20" t="str">
        <x:v>ID</x:v>
      </x:c>
      <x:c r="B4" s="20" t="str">
        <x:v>Pattern</x:v>
      </x:c>
      <x:c r="C4" s="20" t="str">
        <x:v>Supporting papers</x:v>
      </x:c>
      <x:c r="D4" s="20" t="str">
        <x:v>Count</x:v>
      </x:c>
      <x:c r="E4" s="20" t="str">
        <x:v>Comparable N</x:v>
      </x:c>
      <x:c r="F4" s="20" t="str">
        <x:v>Rate</x:v>
      </x:c>
      <x:c r="G4" s="20" t="str">
        <x:v>Strength</x:v>
      </x:c>
      <x:c r="H4" s="20" t="str">
        <x:v>Manuscript use</x:v>
      </x:c>
      <x:c r="I4" s="20" t="str">
        <x:v>Gate check</x:v>
      </x:c>
    </x:row>
    <x:row r="5" ht="15" hidden="0" customHeight="1">
      <x:c r="A5" s="24" t="str">
        <x:v>S01</x:v>
      </x:c>
      <x:c r="B5" s="24" t="str">
        <x:v>Move from an engineering constraint to a precise method/evidence gap and an explicit contribution list.</x:v>
      </x:c>
      <x:c r="C5" s="24" t="str">
        <x:v>1,2,3,4,5,6,7,9,10,11,12</x:v>
      </x:c>
      <x:c r="D5" s="25" t="n">
        <x:v>11</x:v>
      </x:c>
      <x:c r="E5" s="25" t="n">
        <x:v>12</x:v>
      </x:c>
      <x:c r="F5" s="27" t="n">
        <x:v>0.917</x:v>
      </x:c>
      <x:c r="G5" s="26" t="str">
        <x:v>S-High</x:v>
      </x:c>
      <x:c r="H5" s="26" t="str">
        <x:v>Introduction and Related work</x:v>
      </x:c>
      <x:c r="I5" s="26" t="str">
        <x:f>IF(AND(D5&gt;=5,F5&gt;=0.7),"Pass S-High gate","Below S-High gate")</x:f>
        <x:v>Pass S-High gate</x:v>
      </x:c>
    </x:row>
    <x:row r="6" ht="19.200000762939453" hidden="0" customHeight="1">
      <x:c r="A6" s="24" t="str">
        <x:v>S02</x:v>
      </x:c>
      <x:c r="B6" s="24" t="str">
        <x:v>Define the task, state/action/resource constraints and evaluation semantics before presenting algorithmic detail or interpreting outcomes.</x:v>
      </x:c>
      <x:c r="C6" s="24" t="str">
        <x:v>1,2,3,4,5,6,7,8,9,10,11,12</x:v>
      </x:c>
      <x:c r="D6" s="25" t="n">
        <x:v>12</x:v>
      </x:c>
      <x:c r="E6" s="25" t="n">
        <x:v>12</x:v>
      </x:c>
      <x:c r="F6" s="27" t="n">
        <x:v>1</x:v>
      </x:c>
      <x:c r="G6" s="26" t="str">
        <x:v>S-High</x:v>
      </x:c>
      <x:c r="H6" s="26" t="str">
        <x:v>Problem formulation, Methods and protocol</x:v>
      </x:c>
      <x:c r="I6" s="26" t="str">
        <x:f>IF(AND(D6&gt;=5,F6&gt;=0.7),"Pass S-High gate","Below S-High gate")</x:f>
        <x:v>Pass S-High gate</x:v>
      </x:c>
    </x:row>
    <x:row r="7" ht="15" hidden="0" customHeight="1">
      <x:c r="A7" s="24" t="str">
        <x:v>S03</x:v>
      </x:c>
      <x:c r="B7" s="24" t="str">
        <x:v>Disclose environment, parameters, baselines, metrics and computational setting before the main comparison.</x:v>
      </x:c>
      <x:c r="C7" s="24" t="str">
        <x:v>1,2,3,4,5,6,7,8,9,10,11,12</x:v>
      </x:c>
      <x:c r="D7" s="25" t="n">
        <x:v>12</x:v>
      </x:c>
      <x:c r="E7" s="25" t="n">
        <x:v>12</x:v>
      </x:c>
      <x:c r="F7" s="27" t="n">
        <x:v>1</x:v>
      </x:c>
      <x:c r="G7" s="26" t="str">
        <x:v>S-High</x:v>
      </x:c>
      <x:c r="H7" s="26" t="str">
        <x:v>Experimental protocol</x:v>
      </x:c>
      <x:c r="I7" s="26" t="str">
        <x:f>IF(AND(D7&gt;=5,F7&gt;=0.7),"Pass S-High gate","Below S-High gate")</x:f>
        <x:v>Pass S-High gate</x:v>
      </x:c>
    </x:row>
    <x:row r="8" ht="19.200000762939453" hidden="0" customHeight="1">
      <x:c r="A8" s="24" t="str">
        <x:v>S04</x:v>
      </x:c>
      <x:c r="B8" s="24" t="str">
        <x:v>Keep figures/tables close to the supported claim and assign different visual forms to architecture, learning, routes, metrics and ablations.</x:v>
      </x:c>
      <x:c r="C8" s="24" t="str">
        <x:v>1,2,3,4,5,6,7,8,9,10,11,12</x:v>
      </x:c>
      <x:c r="D8" s="25" t="n">
        <x:v>12</x:v>
      </x:c>
      <x:c r="E8" s="25" t="n">
        <x:v>12</x:v>
      </x:c>
      <x:c r="F8" s="27" t="n">
        <x:v>1</x:v>
      </x:c>
      <x:c r="G8" s="26" t="str">
        <x:v>S-High</x:v>
      </x:c>
      <x:c r="H8" s="26" t="str">
        <x:v>Results and figure storyline</x:v>
      </x:c>
      <x:c r="I8" s="26" t="str">
        <x:f>IF(AND(D8&gt;=5,F8&gt;=0.7),"Pass S-High gate","Below S-High gate")</x:f>
        <x:v>Pass S-High gate</x:v>
      </x:c>
    </x:row>
    <x:row r="9" ht="19.200000762939453" hidden="0" customHeight="1">
      <x:c r="A9" s="24" t="str">
        <x:v>S05</x:v>
      </x:c>
      <x:c r="B9" s="24" t="str">
        <x:v>Report multiple engineering dimensions and preserve comparator wins, adverse costs or objective conflicts rather than declaring a universal champion.</x:v>
      </x:c>
      <x:c r="C9" s="24" t="str">
        <x:v>1,3,4,5,6,7,9,10,11,12</x:v>
      </x:c>
      <x:c r="D9" s="25" t="n">
        <x:v>10</x:v>
      </x:c>
      <x:c r="E9" s="25" t="n">
        <x:v>12</x:v>
      </x:c>
      <x:c r="F9" s="27" t="n">
        <x:v>0.833</x:v>
      </x:c>
      <x:c r="G9" s="26" t="str">
        <x:v>S-High</x:v>
      </x:c>
      <x:c r="H9" s="26" t="str">
        <x:v>Results and Discussion</x:v>
      </x:c>
      <x:c r="I9" s="26" t="str">
        <x:f>IF(AND(D9&gt;=5,F9&gt;=0.7),"Pass S-High gate","Below S-High gate")</x:f>
        <x:v>Pass S-High gate</x:v>
      </x:c>
    </x:row>
    <x:row r="10" ht="19.200000762939453" hidden="0" customHeight="1">
      <x:c r="A10" s="24" t="str">
        <x:v>S06</x:v>
      </x:c>
      <x:c r="B10" s="24" t="str">
        <x:v>State simulation, held-out, hardware and deployment boundaries explicitly; a more realistic tier supports only the claims tested in that tier.</x:v>
      </x:c>
      <x:c r="C10" s="24" t="str">
        <x:v>2,3,4,5,6,7,8,9,10,11,12</x:v>
      </x:c>
      <x:c r="D10" s="25" t="n">
        <x:v>11</x:v>
      </x:c>
      <x:c r="E10" s="25" t="n">
        <x:v>12</x:v>
      </x:c>
      <x:c r="F10" s="27" t="n">
        <x:v>0.917</x:v>
      </x:c>
      <x:c r="G10" s="26" t="str">
        <x:v>S-High</x:v>
      </x:c>
      <x:c r="H10" s="26" t="str">
        <x:v>Discussion and limitations</x:v>
      </x:c>
      <x:c r="I10" s="26" t="str">
        <x:f>IF(AND(D10&gt;=5,F10&gt;=0.7),"Pass S-High gate","Below S-High gate")</x:f>
        <x:v>Pass S-High gate</x:v>
      </x:c>
    </x:row>
    <x:row r="11" ht="15" hidden="0" customHeight="1">
      <x:c r="A11" s="24" t="str">
        <x:v>S07</x:v>
      </x:c>
      <x:c r="B11" s="24" t="str">
        <x:v>Separate training conditions from evaluation or held-out conditions and state what changes or remains fixed.</x:v>
      </x:c>
      <x:c r="C11" s="24" t="str">
        <x:v>1,2,3,4,5,6,7,9,10,11,12</x:v>
      </x:c>
      <x:c r="D11" s="25" t="n">
        <x:v>11</x:v>
      </x:c>
      <x:c r="E11" s="25" t="n">
        <x:v>12</x:v>
      </x:c>
      <x:c r="F11" s="27" t="n">
        <x:v>0.917</x:v>
      </x:c>
      <x:c r="G11" s="26" t="str">
        <x:v>S-High</x:v>
      </x:c>
      <x:c r="H11" s="26" t="str">
        <x:v>Protocol, robustness and transfer</x:v>
      </x:c>
      <x:c r="I11" s="26" t="str">
        <x:f>IF(AND(D11&gt;=5,F11&gt;=0.7),"Pass S-High gate","Below S-High gate")</x:f>
        <x:v>Pass S-High gate</x:v>
      </x:c>
    </x:row>
    <x:row r="12" ht="15" hidden="0" customHeight="1">
      <x:c r="A12" s="24" t="str">
        <x:v>S08</x:v>
      </x:c>
      <x:c r="B12" s="24" t="str">
        <x:v>Use named perturbations or scenario shifts and interpret robustness within those tested ranges.</x:v>
      </x:c>
      <x:c r="C12" s="24" t="str">
        <x:v>2,3,4,5,6,7,9,10,12</x:v>
      </x:c>
      <x:c r="D12" s="25" t="n">
        <x:v>9</x:v>
      </x:c>
      <x:c r="E12" s="25" t="n">
        <x:v>11</x:v>
      </x:c>
      <x:c r="F12" s="27" t="n">
        <x:v>0.818</x:v>
      </x:c>
      <x:c r="G12" s="26" t="str">
        <x:v>S-High</x:v>
      </x:c>
      <x:c r="H12" s="26" t="str">
        <x:v>Robustness reporting</x:v>
      </x:c>
      <x:c r="I12" s="26" t="str">
        <x:f>IF(AND(D12&gt;=5,F12&gt;=0.7),"Pass S-High gate","Below S-High gate")</x:f>
        <x:v>Pass S-High gate</x:v>
      </x:c>
    </x:row>
    <x:row r="13" ht="15" hidden="0" customHeight="1">
      <x:c r="A13" s="24" t="str">
        <x:v>S09</x:v>
      </x:c>
      <x:c r="B13" s="24" t="str">
        <x:v>Include a dedicated or clearly identifiable limitations/deployment-boundary discussion.</x:v>
      </x:c>
      <x:c r="C13" s="24" t="str">
        <x:v>2,3,4,5,6,7,8,9,10,11,12</x:v>
      </x:c>
      <x:c r="D13" s="25" t="n">
        <x:v>11</x:v>
      </x:c>
      <x:c r="E13" s="25" t="n">
        <x:v>12</x:v>
      </x:c>
      <x:c r="F13" s="27" t="n">
        <x:v>0.917</x:v>
      </x:c>
      <x:c r="G13" s="26" t="str">
        <x:v>S-High</x:v>
      </x:c>
      <x:c r="H13" s="26" t="str">
        <x:v>Discussion and Conclusions</x:v>
      </x:c>
      <x:c r="I13" s="26" t="str">
        <x:f>IF(AND(D13&gt;=5,F13&gt;=0.7),"Pass S-High gate","Below S-High gate")</x:f>
        <x:v>Pass S-High gate</x:v>
      </x:c>
    </x:row>
    <x:row r="14" ht="19.200000762939453" hidden="0" customHeight="1">
      <x:c r="A14" s="24" t="str">
        <x:v>S10</x:v>
      </x:c>
      <x:c r="B14" s="24" t="str">
        <x:v>When physical validation is claimed, disclose platform/instrumentation, test protocol, sample counts or failures, and separate it from simulation.</x:v>
      </x:c>
      <x:c r="C14" s="24" t="str">
        <x:v>2,7,8,9,10</x:v>
      </x:c>
      <x:c r="D14" s="25" t="n">
        <x:v>5</x:v>
      </x:c>
      <x:c r="E14" s="25" t="n">
        <x:v>5</x:v>
      </x:c>
      <x:c r="F14" s="27" t="n">
        <x:v>1</x:v>
      </x:c>
      <x:c r="G14" s="26" t="str">
        <x:v>S-High</x:v>
      </x:c>
      <x:c r="H14" s="26" t="str">
        <x:v>Boundary rule only; current paper has no physical validation</x:v>
      </x:c>
      <x:c r="I14" s="26" t="str">
        <x:f>IF(AND(D14&gt;=5,F14&gt;=0.7),"Pass S-High gate","Below S-High gate")</x:f>
        <x:v>Pass S-High gate</x:v>
      </x:c>
    </x:row>
    <x:row r="15" ht="15" hidden="0" customHeight="1">
      <x:c r="A15" s="24" t="str">
        <x:v>M01</x:v>
      </x:c>
      <x:c r="B15" s="24" t="str">
        <x:v>Show replicated learning or evaluation uncertainty using seeds, repeated runs, intervals or dispersion.</x:v>
      </x:c>
      <x:c r="C15" s="24" t="str">
        <x:v>1,2,3,4,9,10,11,12</x:v>
      </x:c>
      <x:c r="D15" s="25" t="n">
        <x:v>8</x:v>
      </x:c>
      <x:c r="E15" s="25" t="n">
        <x:v>12</x:v>
      </x:c>
      <x:c r="F15" s="27" t="n">
        <x:v>0.667</x:v>
      </x:c>
      <x:c r="G15" s="28" t="str">
        <x:v>S-Medium</x:v>
      </x:c>
      <x:c r="H15" s="28" t="str">
        <x:v>Adopt because the frozen project supports it, not because it is universal</x:v>
      </x:c>
      <x:c r="I15" s="28" t="str">
        <x:f>IF(AND(D15&gt;=5,F15&gt;=0.7),"Pass S-High gate","Below S-High gate")</x:f>
        <x:v>Below S-High gate</x:v>
      </x:c>
    </x:row>
    <x:row r="16" ht="15" hidden="0" customHeight="1">
      <x:c r="A16" s="24" t="str">
        <x:v>M02</x:v>
      </x:c>
      <x:c r="B16" s="24" t="str">
        <x:v>Use explicit component-removal or configuration ablations before making mechanism-specific claims.</x:v>
      </x:c>
      <x:c r="C16" s="24" t="str">
        <x:v>1,2,3,4,6,9,11</x:v>
      </x:c>
      <x:c r="D16" s="25" t="n">
        <x:v>7</x:v>
      </x:c>
      <x:c r="E16" s="25" t="n">
        <x:v>12</x:v>
      </x:c>
      <x:c r="F16" s="27" t="n">
        <x:v>0.583</x:v>
      </x:c>
      <x:c r="G16" s="28" t="str">
        <x:v>S-Medium</x:v>
      </x:c>
      <x:c r="H16" s="28" t="str">
        <x:v>Adopt for the four frozen ablations; do not infer untested submask effects</x:v>
      </x:c>
      <x:c r="I16" s="28" t="str">
        <x:f>IF(AND(D16&gt;=5,F16&gt;=0.7),"Pass S-High gate","Below S-High gate")</x:f>
        <x:v>Below S-High gate</x:v>
      </x:c>
    </x:row>
    <x:row r="17" ht="15" hidden="0" customHeight="1">
      <x:c r="A17" s="24" t="str">
        <x:v>M03</x:v>
      </x:c>
      <x:c r="B17" s="24" t="str">
        <x:v>Provide a notation/nomenclature table for equation-dense sections.</x:v>
      </x:c>
      <x:c r="C17" s="24" t="str">
        <x:v>1,3,5,10</x:v>
      </x:c>
      <x:c r="D17" s="25" t="n">
        <x:v>4</x:v>
      </x:c>
      <x:c r="E17" s="25" t="n">
        <x:v>8</x:v>
      </x:c>
      <x:c r="F17" s="27" t="n">
        <x:v>0.5</x:v>
      </x:c>
      <x:c r="G17" s="29" t="str">
        <x:v>O/Low</x:v>
      </x:c>
      <x:c r="H17" s="29" t="str">
        <x:v>Optional readability device</x:v>
      </x:c>
      <x:c r="I17" s="29" t="str">
        <x:f>IF(AND(D17&gt;=5,F17&gt;=0.7),"Pass S-High gate","Below S-High gate")</x:f>
        <x:v>Below S-High gate</x:v>
      </x:c>
    </x:row>
    <x:row r="18" ht="15" hidden="0" customHeight="1">
      <x:c r="A18" s="24" t="str">
        <x:v>M04</x:v>
      </x:c>
      <x:c r="B18" s="24" t="str">
        <x:v>Use a related-work comparison/coverage table.</x:v>
      </x:c>
      <x:c r="C18" s="24" t="str">
        <x:v>2,3,6</x:v>
      </x:c>
      <x:c r="D18" s="25" t="n">
        <x:v>3</x:v>
      </x:c>
      <x:c r="E18" s="25" t="n">
        <x:v>12</x:v>
      </x:c>
      <x:c r="F18" s="27" t="n">
        <x:v>0.25</x:v>
      </x:c>
      <x:c r="G18" s="29" t="str">
        <x:v>O/Low</x:v>
      </x:c>
      <x:c r="H18" s="29" t="str">
        <x:v>Optional; not a journal convention</x:v>
      </x:c>
      <x:c r="I18" s="29" t="str">
        <x:f>IF(AND(D18&gt;=5,F18&gt;=0.7),"Pass S-High gate","Below S-High gate")</x:f>
        <x:v>Below S-High gate</x:v>
      </x:c>
    </x:row>
    <x:row r="19" ht="15" hidden="0" customHeight="1">
      <x:c r="A19" s="24" t="str">
        <x:v>M05</x:v>
      </x:c>
      <x:c r="B19" s="24" t="str">
        <x:v>Decompose online latency by planning/generation/control or internal module.</x:v>
      </x:c>
      <x:c r="C19" s="24" t="str">
        <x:v>2,7,9,10</x:v>
      </x:c>
      <x:c r="D19" s="25" t="n">
        <x:v>4</x:v>
      </x:c>
      <x:c r="E19" s="25" t="n">
        <x:v>8</x:v>
      </x:c>
      <x:c r="F19" s="27" t="n">
        <x:v>0.5</x:v>
      </x:c>
      <x:c r="G19" s="29" t="str">
        <x:v>O/Low</x:v>
      </x:c>
      <x:c r="H19" s="29" t="str">
        <x:v>Use only where frozen timing data support the decomposition</x:v>
      </x:c>
      <x:c r="I19" s="29" t="str">
        <x:f>IF(AND(D19&gt;=5,F19&gt;=0.7),"Pass S-High gate","Below S-High gate")</x:f>
        <x:v>Below S-High gate</x:v>
      </x:c>
    </x:row>
    <x:row r="20" ht="15" hidden="0" customHeight="1">
      <x:c r="A20" s="24" t="str">
        <x:v>M06</x:v>
      </x:c>
      <x:c r="B20" s="24" t="str">
        <x:v>Place Related work after the main empirical discussion.</x:v>
      </x:c>
      <x:c r="C20" s="24" t="str">
        <x:v>11</x:v>
      </x:c>
      <x:c r="D20" s="25" t="n">
        <x:v>1</x:v>
      </x:c>
      <x:c r="E20" s="25" t="n">
        <x:v>12</x:v>
      </x:c>
      <x:c r="F20" s="27" t="n">
        <x:v>0.083</x:v>
      </x:c>
      <x:c r="G20" s="29" t="str">
        <x:v>O/Low</x:v>
      </x:c>
      <x:c r="H20" s="29" t="str">
        <x:v>Do not emulate</x:v>
      </x:c>
      <x:c r="I20" s="29" t="str">
        <x:f>IF(AND(D20&gt;=5,F20&gt;=0.7),"Pass S-High gate","Below S-High gate")</x:f>
        <x:v>Below S-High gate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0" hidden="0" customWidth="1"/>
    <x:col min="3" max="3" width="58" hidden="0" customWidth="1"/>
    <x:col min="4" max="4" width="86" hidden="0" customWidth="1"/>
  </x:cols>
  <x:sheetData>
    <x:row r="1" ht="28" customHeight="1">
      <x:c r="A1" s="3" t="str">
        <x:v>Paper-specific content that must not migrate</x:v>
      </x:c>
      <x:c r="B1" s="3"/>
      <x:c r="C1" s="3"/>
      <x:c r="D1" s="3"/>
    </x:row>
    <x:row r="2" ht="40" customHeight="1">
      <x:c r="A2" s="7" t="str">
        <x:v>Only recurring scientific functions may influence the v2 manuscript.</x:v>
      </x:c>
      <x:c r="B2" s="7"/>
      <x:c r="C2" s="7"/>
      <x:c r="D2" s="7"/>
    </x:row>
    <x:row r="4" ht="15" hidden="0" customHeight="1">
      <x:c r="A4" s="20" t="str">
        <x:v>No.</x:v>
      </x:c>
      <x:c r="B4" s="20" t="str">
        <x:v>DOI</x:v>
      </x:c>
      <x:c r="C4" s="20" t="str">
        <x:v>Paper</x:v>
      </x:c>
      <x:c r="D4" s="20" t="str">
        <x:v>Prohibited migration</x:v>
      </x:c>
    </x:row>
    <x:row r="5" ht="19.200000762939453" hidden="0" customHeight="1">
      <x:c r="A5" s="24" t="n">
        <x:v>1</x:v>
      </x:c>
      <x:c r="B5" s="24" t="str">
        <x:v>10.1016/j.engappai.2026.115219</x:v>
      </x:c>
      <x:c r="C5" s="24" t="str">
        <x:v>Deep reinforcement learning for periodic Unmanned Aerial Vehicle task allocation and path planning with a Fixed Nest Station in power inspection</x:v>
      </x:c>
      <x:c r="D5" s="24" t="str">
        <x:v>Periodic-frequency model, 28-day horizon, MILP/DSP/TAA equations, FE indicator, parameters, results, wording and reference combination.</x:v>
      </x:c>
    </x:row>
    <x:row r="6" ht="19.200000762939453" hidden="0" customHeight="1">
      <x:c r="A6" s="24" t="n">
        <x:v>2</x:v>
      </x:c>
      <x:c r="B6" s="24" t="str">
        <x:v>10.1016/j.engappai.2026.113779</x:v>
      </x:c>
      <x:c r="C6" s="24" t="str">
        <x:v>Asynchronous multithreading reinforcement learning with attention-based significance measurement for collision-free robot navigation</x:v>
      </x:c>
      <x:c r="D6" s="24" t="str">
        <x:v>ASMAC/SMRR/LAM, reward, asynchronous workers, sensor/control details, scenarios, metrics, runtime and physical-validation rhetoric.</x:v>
      </x:c>
    </x:row>
    <x:row r="7" ht="19.200000762939453" hidden="0" customHeight="1">
      <x:c r="A7" s="24" t="n">
        <x:v>3</x:v>
      </x:c>
      <x:c r="B7" s="24" t="str">
        <x:v>10.1016/j.engappai.2025.113518</x:v>
      </x:c>
      <x:c r="C7" s="24" t="str">
        <x:v>Situation-aware deep reinforcement learning for unmanned aerial vehicle swarm navigation in dynamic multi-obstacle environments</x:v>
      </x:c>
      <x:c r="D7" s="24" t="str">
        <x:v>AHF/SAPO/CNN-LSTM/DDPG, reward and uncertainty models, parameters, convergence language, results and references.</x:v>
      </x:c>
    </x:row>
    <x:row r="8" ht="15" hidden="0" customHeight="1">
      <x:c r="A8" s="24" t="n">
        <x:v>4</x:v>
      </x:c>
      <x:c r="B8" s="24" t="str">
        <x:v>10.1016/j.engappai.2025.112090</x:v>
      </x:c>
      <x:c r="C8" s="24" t="str">
        <x:v>Evaluating reinforcement learning-based neural controllers for quadcopter navigation in windy conditions</x:v>
      </x:c>
      <x:c r="D8" s="24" t="str">
        <x:v>AirSim wind model, trajectories, controller parameters, SHAP, state variables, tolerances, results and physical-system suggestions.</x:v>
      </x:c>
    </x:row>
    <x:row r="9" ht="19.200000762939453" hidden="0" customHeight="1">
      <x:c r="A9" s="24" t="n">
        <x:v>5</x:v>
      </x:c>
      <x:c r="B9" s="24" t="str">
        <x:v>10.1016/j.engappai.2025.111219</x:v>
      </x:c>
      <x:c r="C9" s="24" t="str">
        <x:v>Human-in-the-loop reinforcement learning for dynamic soaring: A trajectory planning and control integrated system</x:v>
      </x:c>
      <x:c r="D9" s="24" t="str">
        <x:v>Dynamic-soaring formulation, GPOPS/SNOPT, SAC/HITL loop, rewards, aerodynamics, thresholds, findings and references.</x:v>
      </x:c>
    </x:row>
    <x:row r="10" ht="19.200000762939453" hidden="0" customHeight="1">
      <x:c r="A10" s="24" t="n">
        <x:v>6</x:v>
      </x:c>
      <x:c r="B10" s="24" t="str">
        <x:v>10.1016/j.engappai.2025.110392</x:v>
      </x:c>
      <x:c r="C10" s="24" t="str">
        <x:v>Reinforcement learning based multi-perspective motion planning of manned electric vertical take-off and landing vehicle in urban environment with wind fields</x:v>
      </x:c>
      <x:c r="D10" s="24" t="str">
        <x:v>eVTOL/Atlanta/CFD, passenger/acoustic models, modified PPO, rewards, weights, results and references.</x:v>
      </x:c>
    </x:row>
    <x:row r="11" ht="15" hidden="0" customHeight="1">
      <x:c r="A11" s="24" t="n">
        <x:v>7</x:v>
      </x:c>
      <x:c r="B11" s="24" t="str">
        <x:v>10.1016/j.engappai.2024.109870</x:v>
      </x:c>
      <x:c r="C11" s="24" t="str">
        <x:v>Path planning via reinforcement learning with closed-loop motion control and field tests</x:v>
      </x:c>
      <x:c r="D11" s="24" t="str">
        <x:v>ISO manoeuvre, TD3/MPC, polynomial path, vehicle models/hardware, timing, randomisation and field-test claims.</x:v>
      </x:c>
    </x:row>
    <x:row r="12" ht="19.200000762939453" hidden="0" customHeight="1">
      <x:c r="A12" s="24" t="n">
        <x:v>8</x:v>
      </x:c>
      <x:c r="B12" s="24" t="str">
        <x:v>10.1016/j.engappai.2024.108926</x:v>
      </x:c>
      <x:c r="C12" s="24" t="str">
        <x:v>Layered learning in a quadrotor drone: Simultaneous controlling and path planning using optimal fuzzy fractional order proportional integral derivative and proximal policy optimization</x:v>
      </x:c>
      <x:c r="D12" s="24" t="str">
        <x:v>Fuzzy/FOPID/GA/PSO/Taguchi, dynamics, rewards, network, hardware, qualitative flight claims and references.</x:v>
      </x:c>
    </x:row>
    <x:row r="13" ht="19.200000762939453" hidden="0" customHeight="1">
      <x:c r="A13" s="24" t="n">
        <x:v>9</x:v>
      </x:c>
      <x:c r="B13" s="24" t="str">
        <x:v>10.1016/j.engappai.2024.108506</x:v>
      </x:c>
      <x:c r="C13" s="24" t="str">
        <x:v>Reinforcement learning based robot navigation using illegal actions for autonomous docking of surface vehicles in unknown environments</x:v>
      </x:c>
      <x:c r="D13" s="24" t="str">
        <x:v>Docking states/actions, illegal-action windows, reward, curriculum, sea conditions, A* settings, hardware and physical results.</x:v>
      </x:c>
    </x:row>
    <x:row r="14" ht="19.200000762939453" hidden="0" customHeight="1">
      <x:c r="A14" s="24" t="n">
        <x:v>10</x:v>
      </x:c>
      <x:c r="B14" s="24" t="str">
        <x:v>10.1016/j.engappai.2024.109339</x:v>
      </x:c>
      <x:c r="C14" s="24" t="str">
        <x:v>A reliable traversability learning method based on human-demonstrated risk cost mapping for mobile robots over uneven terrain</x:v>
      </x:c>
      <x:c r="D14" s="24" t="str">
        <x:v>MCE IRL, demonstrations, feature bins, Hybrid A*, scenarios, counts, hardware, numerical results and references.</x:v>
      </x:c>
    </x:row>
    <x:row r="15" ht="19.200000762939453" hidden="0" customHeight="1">
      <x:c r="A15" s="24" t="n">
        <x:v>11</x:v>
      </x:c>
      <x:c r="B15" s="24" t="str">
        <x:v>10.1016/j.engappai.2023.106703</x:v>
      </x:c>
      <x:c r="C15" s="24" t="str">
        <x:v>Subtask-masked curriculum learning for reinforcement learning with application to UAV maneuver decision-making</x:v>
      </x:c>
      <x:c r="D15" s="24" t="str">
        <x:v>Military manoeuvre, curriculum/task/transfer masks, TD3, distillation, expert policy, seed selection, results and references.</x:v>
      </x:c>
    </x:row>
    <x:row r="16" ht="19.200000762939453" hidden="0" customHeight="1">
      <x:c r="A16" s="24" t="n">
        <x:v>12</x:v>
      </x:c>
      <x:c r="B16" s="24" t="str">
        <x:v>10.1016/j.engappai.2023.105891</x:v>
      </x:c>
      <x:c r="C16" s="24" t="str">
        <x:v>Multi-UAV trajectory optimizer: A sustainable system for wireless data harvesting with deep reinforcement learning</x:v>
      </x:c>
      <x:c r="D16" s="24" t="str">
        <x:v>Wireless model, Dec-POMDP, MARL/DDQN, charging thresholds, rewards, grids, ranges, sweet spots, results and references.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0" hidden="0" customWidth="1"/>
    <x:col min="3" max="3" width="9" hidden="0" customWidth="1"/>
    <x:col min="4" max="4" width="67" hidden="0" customWidth="1"/>
    <x:col min="5" max="5" width="18" hidden="0" customWidth="1"/>
    <x:col min="6" max="6" width="18" hidden="0" customWidth="1"/>
    <x:col min="7" max="7" width="12" hidden="0" customWidth="1"/>
    <x:col min="8" max="8" width="70" hidden="0" customWidth="1"/>
  </x:cols>
  <x:sheetData>
    <x:row r="1" ht="28" customHeight="1">
      <x:c r="A1" s="3" t="str">
        <x:v>Full-text completion and identity audit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Page counts and hashes identify the exact acquired PDFs used for the reading records.</x:v>
      </x:c>
      <x:c r="B2" s="7"/>
      <x:c r="C2" s="7"/>
      <x:c r="D2" s="7"/>
      <x:c r="E2" s="7"/>
      <x:c r="F2" s="7"/>
      <x:c r="G2" s="7"/>
      <x:c r="H2" s="7"/>
    </x:row>
    <x:row r="4" ht="15" hidden="0" customHeight="1">
      <x:c r="A4" s="20" t="str">
        <x:v>No.</x:v>
      </x:c>
      <x:c r="B4" s="20" t="str">
        <x:v>DOI</x:v>
      </x:c>
      <x:c r="C4" s="20" t="str">
        <x:v>Pages</x:v>
      </x:c>
      <x:c r="D4" s="20" t="str">
        <x:v>SHA-256</x:v>
      </x:c>
      <x:c r="E4" s="20" t="str">
        <x:v>Article type</x:v>
      </x:c>
      <x:c r="F4" s="20" t="str">
        <x:v>Comparability</x:v>
      </x:c>
      <x:c r="G4" s="20" t="str">
        <x:v>Status</x:v>
      </x:c>
      <x:c r="H4" s="20" t="str">
        <x:v>Coverage statement</x:v>
      </x:c>
    </x:row>
    <x:row r="5" ht="15" hidden="0" customHeight="1">
      <x:c r="A5" s="24" t="n">
        <x:v>1</x:v>
      </x:c>
      <x:c r="B5" s="24" t="str">
        <x:v>10.1016/j.engappai.2026.115219</x:v>
      </x:c>
      <x:c r="C5" s="24" t="n">
        <x:v>16</x:v>
      </x:c>
      <x:c r="D5" s="24" t="str">
        <x:v>c41438e408773c9ede8c1eec90a185da6705bc7557c6860c8e567afe22026fbd</x:v>
      </x:c>
      <x:c r="E5" s="24" t="str">
        <x:v>Research paper</x:v>
      </x:c>
      <x:c r="F5" s="24" t="str">
        <x:v>High</x:v>
      </x:c>
      <x:c r="G5" s="26" t="str">
        <x:v>Complete</x:v>
      </x:c>
      <x:c r="H5" s="24" t="str">
        <x:v>Full PDF, including figures/tables, declarations and references, reviewed</x:v>
      </x:c>
    </x:row>
    <x:row r="6" ht="15" hidden="0" customHeight="1">
      <x:c r="A6" s="24" t="n">
        <x:v>2</x:v>
      </x:c>
      <x:c r="B6" s="24" t="str">
        <x:v>10.1016/j.engappai.2026.113779</x:v>
      </x:c>
      <x:c r="C6" s="24" t="n">
        <x:v>17</x:v>
      </x:c>
      <x:c r="D6" s="24" t="str">
        <x:v>2f612ac4dbd9505bc137375e9792031fec60e21839548e55200266de5a2e1d0b</x:v>
      </x:c>
      <x:c r="E6" s="24" t="str">
        <x:v>Research paper</x:v>
      </x:c>
      <x:c r="F6" s="24" t="str">
        <x:v>Medium</x:v>
      </x:c>
      <x:c r="G6" s="26" t="str">
        <x:v>Complete</x:v>
      </x:c>
      <x:c r="H6" s="24" t="str">
        <x:v>Full PDF, including figures/tables, declarations and references, reviewed</x:v>
      </x:c>
    </x:row>
    <x:row r="7" ht="15" hidden="0" customHeight="1">
      <x:c r="A7" s="24" t="n">
        <x:v>3</x:v>
      </x:c>
      <x:c r="B7" s="24" t="str">
        <x:v>10.1016/j.engappai.2025.113518</x:v>
      </x:c>
      <x:c r="C7" s="24" t="n">
        <x:v>20</x:v>
      </x:c>
      <x:c r="D7" s="24" t="str">
        <x:v>e2d5a54a936fb464252a578bfb4424c137587538d2a9efbdeca5756234d61f6c</x:v>
      </x:c>
      <x:c r="E7" s="24" t="str">
        <x:v>Research paper</x:v>
      </x:c>
      <x:c r="F7" s="24" t="str">
        <x:v>Medium–high</x:v>
      </x:c>
      <x:c r="G7" s="26" t="str">
        <x:v>Complete</x:v>
      </x:c>
      <x:c r="H7" s="24" t="str">
        <x:v>Full PDF, including figures/tables, declarations and references, reviewed</x:v>
      </x:c>
    </x:row>
    <x:row r="8" ht="15" hidden="0" customHeight="1">
      <x:c r="A8" s="24" t="n">
        <x:v>4</x:v>
      </x:c>
      <x:c r="B8" s="24" t="str">
        <x:v>10.1016/j.engappai.2025.112090</x:v>
      </x:c>
      <x:c r="C8" s="24" t="n">
        <x:v>18</x:v>
      </x:c>
      <x:c r="D8" s="24" t="str">
        <x:v>f61ac26e7ffe6c07b7fb00d7a7a510a5727c6fa46b5173878fc49703ab8a3ba4</x:v>
      </x:c>
      <x:c r="E8" s="24" t="str">
        <x:v>Research paper</x:v>
      </x:c>
      <x:c r="F8" s="24" t="str">
        <x:v>High</x:v>
      </x:c>
      <x:c r="G8" s="26" t="str">
        <x:v>Complete</x:v>
      </x:c>
      <x:c r="H8" s="24" t="str">
        <x:v>Full PDF, including figures/tables, declarations and references, reviewed</x:v>
      </x:c>
    </x:row>
    <x:row r="9" ht="15" hidden="0" customHeight="1">
      <x:c r="A9" s="24" t="n">
        <x:v>5</x:v>
      </x:c>
      <x:c r="B9" s="24" t="str">
        <x:v>10.1016/j.engappai.2025.111219</x:v>
      </x:c>
      <x:c r="C9" s="24" t="n">
        <x:v>19</x:v>
      </x:c>
      <x:c r="D9" s="24" t="str">
        <x:v>18a42d336cce3ea12d0e5b1515252425bc11692aedfdb9ed65d72d3e18921ab5</x:v>
      </x:c>
      <x:c r="E9" s="24" t="str">
        <x:v>Research paper</x:v>
      </x:c>
      <x:c r="F9" s="24" t="str">
        <x:v>Medium</x:v>
      </x:c>
      <x:c r="G9" s="26" t="str">
        <x:v>Complete</x:v>
      </x:c>
      <x:c r="H9" s="24" t="str">
        <x:v>Full PDF, including figures/tables, declarations and references, reviewed</x:v>
      </x:c>
    </x:row>
    <x:row r="10" ht="15" hidden="0" customHeight="1">
      <x:c r="A10" s="24" t="n">
        <x:v>6</x:v>
      </x:c>
      <x:c r="B10" s="24" t="str">
        <x:v>10.1016/j.engappai.2025.110392</x:v>
      </x:c>
      <x:c r="C10" s="24" t="n">
        <x:v>17</x:v>
      </x:c>
      <x:c r="D10" s="24" t="str">
        <x:v>0f389da7d22ae41352d6228e006dd9853ff7bd03510d55fd83f34e37362fd5b5</x:v>
      </x:c>
      <x:c r="E10" s="24" t="str">
        <x:v>Research paper</x:v>
      </x:c>
      <x:c r="F10" s="24" t="str">
        <x:v>High</x:v>
      </x:c>
      <x:c r="G10" s="26" t="str">
        <x:v>Complete</x:v>
      </x:c>
      <x:c r="H10" s="24" t="str">
        <x:v>Full PDF, including figures/tables, declarations and references, reviewed</x:v>
      </x:c>
    </x:row>
    <x:row r="11" ht="15" hidden="0" customHeight="1">
      <x:c r="A11" s="24" t="n">
        <x:v>7</x:v>
      </x:c>
      <x:c r="B11" s="24" t="str">
        <x:v>10.1016/j.engappai.2024.109870</x:v>
      </x:c>
      <x:c r="C11" s="24" t="n">
        <x:v>13</x:v>
      </x:c>
      <x:c r="D11" s="24" t="str">
        <x:v>a6371468248b67346d1c2334992820e2490b39907528a23ac0a6174816a990d5</x:v>
      </x:c>
      <x:c r="E11" s="24" t="str">
        <x:v>Research paper</x:v>
      </x:c>
      <x:c r="F11" s="24" t="str">
        <x:v>Medium–high</x:v>
      </x:c>
      <x:c r="G11" s="26" t="str">
        <x:v>Complete</x:v>
      </x:c>
      <x:c r="H11" s="24" t="str">
        <x:v>Full PDF, including figures/tables, declarations and references, reviewed</x:v>
      </x:c>
    </x:row>
    <x:row r="12" ht="15" hidden="0" customHeight="1">
      <x:c r="A12" s="24" t="n">
        <x:v>8</x:v>
      </x:c>
      <x:c r="B12" s="24" t="str">
        <x:v>10.1016/j.engappai.2024.108926</x:v>
      </x:c>
      <x:c r="C12" s="24" t="n">
        <x:v>19</x:v>
      </x:c>
      <x:c r="D12" s="24" t="str">
        <x:v>d713a4adf45bee91082ea5b07df47f68d44d33a94342f11b0393b5d020149721</x:v>
      </x:c>
      <x:c r="E12" s="24" t="str">
        <x:v>Research paper</x:v>
      </x:c>
      <x:c r="F12" s="24" t="str">
        <x:v>Medium</x:v>
      </x:c>
      <x:c r="G12" s="26" t="str">
        <x:v>Complete</x:v>
      </x:c>
      <x:c r="H12" s="24" t="str">
        <x:v>Full PDF, including figures/tables, declarations and references, reviewed</x:v>
      </x:c>
    </x:row>
    <x:row r="13" ht="15" hidden="0" customHeight="1">
      <x:c r="A13" s="24" t="n">
        <x:v>9</x:v>
      </x:c>
      <x:c r="B13" s="24" t="str">
        <x:v>10.1016/j.engappai.2024.108506</x:v>
      </x:c>
      <x:c r="C13" s="24" t="n">
        <x:v>20</x:v>
      </x:c>
      <x:c r="D13" s="24" t="str">
        <x:v>ea355c02d59c0eb6a7004b176568eaa761077ab0bc6572b97f844775ab6ff220</x:v>
      </x:c>
      <x:c r="E13" s="24" t="str">
        <x:v>Research paper</x:v>
      </x:c>
      <x:c r="F13" s="24" t="str">
        <x:v>High</x:v>
      </x:c>
      <x:c r="G13" s="26" t="str">
        <x:v>Complete</x:v>
      </x:c>
      <x:c r="H13" s="24" t="str">
        <x:v>Full PDF, including figures/tables, declarations and references, reviewed</x:v>
      </x:c>
    </x:row>
    <x:row r="14" ht="15" hidden="0" customHeight="1">
      <x:c r="A14" s="24" t="n">
        <x:v>10</x:v>
      </x:c>
      <x:c r="B14" s="24" t="str">
        <x:v>10.1016/j.engappai.2024.109339</x:v>
      </x:c>
      <x:c r="C14" s="24" t="n">
        <x:v>10</x:v>
      </x:c>
      <x:c r="D14" s="24" t="str">
        <x:v>b466b4ce7823983b091cd5ff903848f261091761a2f3bdabe1983451583bcf0d</x:v>
      </x:c>
      <x:c r="E14" s="24" t="str">
        <x:v>Research paper</x:v>
      </x:c>
      <x:c r="F14" s="24" t="str">
        <x:v>Medium–high</x:v>
      </x:c>
      <x:c r="G14" s="26" t="str">
        <x:v>Complete</x:v>
      </x:c>
      <x:c r="H14" s="24" t="str">
        <x:v>Full PDF, including figures/tables, declarations and references, reviewed</x:v>
      </x:c>
    </x:row>
    <x:row r="15" ht="15" hidden="0" customHeight="1">
      <x:c r="A15" s="24" t="n">
        <x:v>11</x:v>
      </x:c>
      <x:c r="B15" s="24" t="str">
        <x:v>10.1016/j.engappai.2023.106703</x:v>
      </x:c>
      <x:c r="C15" s="24" t="n">
        <x:v>14</x:v>
      </x:c>
      <x:c r="D15" s="24" t="str">
        <x:v>c8e304f95c1905d1438ee35b8cbc9446d0dc24ef0288e244f1a57cc45c30108f</x:v>
      </x:c>
      <x:c r="E15" s="24" t="str">
        <x:v>Research paper</x:v>
      </x:c>
      <x:c r="F15" s="24" t="str">
        <x:v>Medium</x:v>
      </x:c>
      <x:c r="G15" s="26" t="str">
        <x:v>Complete</x:v>
      </x:c>
      <x:c r="H15" s="24" t="str">
        <x:v>Full PDF, including figures/tables, declarations and references, reviewed</x:v>
      </x:c>
    </x:row>
    <x:row r="16" ht="15" hidden="0" customHeight="1">
      <x:c r="A16" s="24" t="n">
        <x:v>12</x:v>
      </x:c>
      <x:c r="B16" s="24" t="str">
        <x:v>10.1016/j.engappai.2023.105891</x:v>
      </x:c>
      <x:c r="C16" s="24" t="n">
        <x:v>11</x:v>
      </x:c>
      <x:c r="D16" s="24" t="str">
        <x:v>34abae9c06434fad1da6f38523ce283db8ee9933fce88ff316b4d09a4430b081</x:v>
      </x:c>
      <x:c r="E16" s="24" t="str">
        <x:v>Research article</x:v>
      </x:c>
      <x:c r="F16" s="24" t="str">
        <x:v>Medium–high</x:v>
      </x:c>
      <x:c r="G16" s="26" t="str">
        <x:v>Complete</x:v>
      </x:c>
      <x:c r="H16" s="24" t="str">
        <x:v>Full PDF, including figures/tables, declarations and references, reviewed</x:v>
      </x:c>
    </x:row>
  </x:sheetData>
  <x:mergeCells>
    <x:mergeCell ref="A1:H1"/>
    <x:mergeCell ref="A2:H2"/>
  </x:mergeCells>
  <x:pageMargins left="0.7" right="0.7" top="0.75" bottom="0.75" header="0.3" footer="0.3"/>
</x:worksheet>
</file>