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03aadf33a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d8a332f7bf459b"/>
    <x:sheet xmlns:r="http://schemas.openxmlformats.org/officeDocument/2006/relationships" name="Paper Format" sheetId="2" r:id="Rab632ab7c7c14df3"/>
    <x:sheet xmlns:r="http://schemas.openxmlformats.org/officeDocument/2006/relationships" name="Rules" sheetId="3" r:id="R89d16a8ffbe34308"/>
    <x:sheet xmlns:r="http://schemas.openxmlformats.org/officeDocument/2006/relationships" name="Application" sheetId="4" r:id="R68f0ddd57b6b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ad50f48e84c90" /><Relationship Type="http://schemas.openxmlformats.org/officeDocument/2006/relationships/theme" Target="/xl/theme/theme1.xml" Id="Rce4af817a8cf48a3" /><Relationship Type="http://schemas.openxmlformats.org/officeDocument/2006/relationships/sharedStrings" Target="/xl/sharedStrings.xml" Id="R23bdc08311604144" /><Relationship Type="http://schemas.openxmlformats.org/officeDocument/2006/relationships/worksheet" Target="/xl/worksheets/sheet1.xml" Id="R1ad8a332f7bf459b" /><Relationship Type="http://schemas.openxmlformats.org/officeDocument/2006/relationships/worksheet" Target="/xl/worksheets/sheet2.xml" Id="Rab632ab7c7c14df3" /><Relationship Type="http://schemas.openxmlformats.org/officeDocument/2006/relationships/worksheet" Target="/xl/worksheets/sheet3.xml" Id="R89d16a8ffbe34308" /><Relationship Type="http://schemas.openxmlformats.org/officeDocument/2006/relationships/worksheet" Target="/xl/worksheets/sheet4.xml" Id="R68f0ddd57b6b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</x:cols>
  <x:sheetData>
    <x:row r="1" ht="27" customHeight="1">
      <x:c r="A1" s="2" t="str">
        <x:v>EAAI 12-paper format comparison v3</x:v>
      </x:c>
      <x:c r="B1" s="2"/>
      <x:c r="C1" s="2"/>
      <x:c r="D1" s="2"/>
      <x:c r="E1" s="2"/>
      <x:c r="F1" s="2"/>
    </x:row>
    <x:row r="2" ht="34" customHeight="1">
      <x:c r="A2" s="5" t="str">
        <x:v>H = official hard rule; S = stable recurring convention; O = publisher or paper-specific feature. Scientific content and sentences are never copied.</x:v>
      </x:c>
      <x:c r="B2" s="5"/>
      <x:c r="C2" s="5"/>
      <x:c r="D2" s="5"/>
      <x:c r="E2" s="5"/>
      <x:c r="F2" s="5"/>
    </x:row>
    <x:row r="4">
      <x:c r="A4" s="9" t="str">
        <x:v>Metric</x:v>
      </x:c>
      <x:c r="B4" s="9" t="str">
        <x:v>Value</x:v>
      </x:c>
    </x:row>
    <x:row r="5">
      <x:c r="A5" s="15" t="str">
        <x:v>Papers reviewed</x:v>
      </x:c>
      <x:c r="B5" s="13" t="n">
        <x:f>COUNTA('Paper Format'!A5:A16)</x:f>
        <x:v>12</x:v>
      </x:c>
    </x:row>
    <x:row r="6">
      <x:c r="A6" s="15" t="str">
        <x:v>Total PDF pages</x:v>
      </x:c>
      <x:c r="B6" s="13" t="n">
        <x:f>SUM('Paper Format'!E5:E16)</x:f>
        <x:v>194</x:v>
      </x:c>
    </x:row>
    <x:row r="7">
      <x:c r="A7" s="15" t="str">
        <x:v>Published two-column PDFs</x:v>
      </x:c>
      <x:c r="B7" s="13" t="n">
        <x:f>COUNTIF('Paper Format'!F5:F16,"Yes")</x:f>
        <x:v>12</x:v>
      </x:c>
    </x:row>
    <x:row r="8">
      <x:c r="A8" s="15" t="str">
        <x:v>H rules</x:v>
      </x:c>
      <x:c r="B8" s="13" t="n">
        <x:f>COUNTIF('Rules'!B5:B15,"H")</x:f>
        <x:v>3</x:v>
      </x:c>
    </x:row>
    <x:row r="9">
      <x:c r="A9" s="15" t="str">
        <x:v>S rules</x:v>
      </x:c>
      <x:c r="B9" s="13" t="n">
        <x:f>COUNTIF('Rules'!B5:B15,"S")</x:f>
        <x:v>5</x:v>
      </x:c>
    </x:row>
    <x:row r="11">
      <x:c r="A11" s="17" t="str">
        <x:v>Decision boundary</x:v>
      </x:c>
      <x:c r="B11" s="17"/>
      <x:c r="C11" s="17"/>
      <x:c r="D11" s="17"/>
      <x:c r="E11" s="17"/>
      <x:c r="F11" s="17"/>
    </x:row>
    <x:row r="12">
      <x:c r="A12" s="20" t="str">
        <x:v>The 12 papers are publisher-formatted two-column articles, but the EAAI author guide controls submission. Therefore the v3 single-column manuscript is the submission file; the two-column file is an explicitly labelled reading proof. Publisher branding and article metadata are excluded.</x:v>
      </x:c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5" hidden="0" customWidth="1"/>
    <x:col min="4" max="4" width="33" hidden="0" customWidth="1"/>
    <x:col min="5" max="5" width="15" hidden="0" customWidth="1"/>
    <x:col min="6" max="6" width="15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7" customHeight="1">
      <x:c r="A1" s="2" t="str">
        <x:v>Paper-level format observations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5" t="str">
        <x:v>Published PDF layout is recorded as evidence but not treated as a submission template.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9" t="str">
        <x:v>No.</x:v>
      </x:c>
      <x:c r="B4" s="9" t="str">
        <x:v>Year</x:v>
      </x:c>
      <x:c r="C4" s="9" t="str">
        <x:v>Short title</x:v>
      </x:c>
      <x:c r="D4" s="9" t="str">
        <x:v>DOI</x:v>
      </x:c>
      <x:c r="E4" s="9" t="str">
        <x:v>Pages</x:v>
      </x:c>
      <x:c r="F4" s="9" t="str">
        <x:v>Published 2-col</x:v>
      </x:c>
      <x:c r="G4" s="9" t="str">
        <x:v>Front order</x:v>
      </x:c>
      <x:c r="H4" s="9" t="str">
        <x:v>Heading hierarchy</x:v>
      </x:c>
      <x:c r="I4" s="9" t="str">
        <x:v>Equation numbering</x:v>
      </x:c>
      <x:c r="J4" s="9" t="str">
        <x:v>Figure caption</x:v>
      </x:c>
      <x:c r="K4" s="9" t="str">
        <x:v>Table title</x:v>
      </x:c>
      <x:c r="L4" s="9" t="str">
        <x:v>Results / discussion</x:v>
      </x:c>
      <x:c r="M4" s="9" t="str">
        <x:v>Back matter</x:v>
      </x:c>
      <x:c r="N4" s="9" t="str">
        <x:v>Transfer class</x:v>
      </x:c>
    </x:row>
    <x:row r="5">
      <x:c r="A5" s="21" t="n">
        <x:v>1</x:v>
      </x:c>
      <x:c r="B5" s="21" t="n">
        <x:v>2026</x:v>
      </x:c>
      <x:c r="C5" s="13" t="str">
        <x:v>Deep reinforcement learning for periodic UAV task allocation and path planning with a fixed nest station</x:v>
      </x:c>
      <x:c r="D5" s="13" t="str">
        <x:v>10.1016/j.engappai.2026.115219</x:v>
      </x:c>
      <x:c r="E5" s="21" t="n">
        <x:v>16</x:v>
      </x:c>
      <x:c r="F5" s="21" t="str">
        <x:v>Yes</x:v>
      </x:c>
      <x:c r="G5" s="13" t="str">
        <x:v>Title → abstract → keywords</x:v>
      </x:c>
      <x:c r="H5" s="13" t="str">
        <x:v>Numbered, 1–3 levels</x:v>
      </x:c>
      <x:c r="I5" s="13" t="str">
        <x:v>When applicable</x:v>
      </x:c>
      <x:c r="J5" s="13" t="str">
        <x:v>Below figure</x:v>
      </x:c>
      <x:c r="K5" s="13" t="str">
        <x:v>Above table</x:v>
      </x:c>
      <x:c r="L5" s="13" t="str">
        <x:v>Integrated results and discussion</x:v>
      </x:c>
      <x:c r="M5" s="13" t="str">
        <x:v>Declarations → references</x:v>
      </x:c>
      <x:c r="N5" s="13" t="str">
        <x:v>O: published two-column only</x:v>
      </x:c>
    </x:row>
    <x:row r="6">
      <x:c r="A6" s="21" t="n">
        <x:v>2</x:v>
      </x:c>
      <x:c r="B6" s="21" t="n">
        <x:v>2026</x:v>
      </x:c>
      <x:c r="C6" s="13" t="str">
        <x:v>Asynchronous multithreading reinforcement learning with attention-based significance measurement for collision-free robot navigation</x:v>
      </x:c>
      <x:c r="D6" s="13" t="str">
        <x:v>10.1016/j.engappai.2026.113779</x:v>
      </x:c>
      <x:c r="E6" s="21" t="n">
        <x:v>17</x:v>
      </x:c>
      <x:c r="F6" s="21" t="str">
        <x:v>Yes</x:v>
      </x:c>
      <x:c r="G6" s="13" t="str">
        <x:v>Title → abstract → keywords</x:v>
      </x:c>
      <x:c r="H6" s="13" t="str">
        <x:v>Numbered, 1–3 levels</x:v>
      </x:c>
      <x:c r="I6" s="13" t="str">
        <x:v>When applicable</x:v>
      </x:c>
      <x:c r="J6" s="13" t="str">
        <x:v>Below figure</x:v>
      </x:c>
      <x:c r="K6" s="13" t="str">
        <x:v>Above table</x:v>
      </x:c>
      <x:c r="L6" s="13" t="str">
        <x:v>Separate discussion/validation boundary</x:v>
      </x:c>
      <x:c r="M6" s="13" t="str">
        <x:v>Declarations → references</x:v>
      </x:c>
      <x:c r="N6" s="13" t="str">
        <x:v>O: publisher front matter omitted</x:v>
      </x:c>
    </x:row>
    <x:row r="7">
      <x:c r="A7" s="21" t="n">
        <x:v>3</x:v>
      </x:c>
      <x:c r="B7" s="21" t="n">
        <x:v>2025</x:v>
      </x:c>
      <x:c r="C7" s="13" t="str">
        <x:v>Situation-aware deep reinforcement learning for UAV swarm navigation in dynamic multi-obstacle environments</x:v>
      </x:c>
      <x:c r="D7" s="13" t="str">
        <x:v>10.1016/j.engappai.2025.113518</x:v>
      </x:c>
      <x:c r="E7" s="21" t="n">
        <x:v>20</x:v>
      </x:c>
      <x:c r="F7" s="21" t="str">
        <x:v>Yes</x:v>
      </x:c>
      <x:c r="G7" s="13" t="str">
        <x:v>Title → abstract → keywords</x:v>
      </x:c>
      <x:c r="H7" s="13" t="str">
        <x:v>Numbered, 1–3 levels</x:v>
      </x:c>
      <x:c r="I7" s="13" t="str">
        <x:v>When applicable</x:v>
      </x:c>
      <x:c r="J7" s="13" t="str">
        <x:v>Below figure</x:v>
      </x:c>
      <x:c r="K7" s="13" t="str">
        <x:v>Above table</x:v>
      </x:c>
      <x:c r="L7" s="13" t="str">
        <x:v>Results then synthesis/discussion</x:v>
      </x:c>
      <x:c r="M7" s="13" t="str">
        <x:v>Declarations → references</x:v>
      </x:c>
      <x:c r="N7" s="13" t="str">
        <x:v>S: evidence-rich result sequence</x:v>
      </x:c>
    </x:row>
    <x:row r="8">
      <x:c r="A8" s="21" t="n">
        <x:v>4</x:v>
      </x:c>
      <x:c r="B8" s="21" t="n">
        <x:v>2025</x:v>
      </x:c>
      <x:c r="C8" s="13" t="str">
        <x:v>Evaluating reinforcement learning-based neural controllers for quadcopter navigation in windy conditions</x:v>
      </x:c>
      <x:c r="D8" s="13" t="str">
        <x:v>10.1016/j.engappai.2025.112090</x:v>
      </x:c>
      <x:c r="E8" s="21" t="n">
        <x:v>18</x:v>
      </x:c>
      <x:c r="F8" s="21" t="str">
        <x:v>Yes</x:v>
      </x:c>
      <x:c r="G8" s="13" t="str">
        <x:v>Title → abstract → keywords</x:v>
      </x:c>
      <x:c r="H8" s="13" t="str">
        <x:v>Numbered, 1–3 levels</x:v>
      </x:c>
      <x:c r="I8" s="13" t="str">
        <x:v>When applicable</x:v>
      </x:c>
      <x:c r="J8" s="13" t="str">
        <x:v>Below figure</x:v>
      </x:c>
      <x:c r="K8" s="13" t="str">
        <x:v>Above table</x:v>
      </x:c>
      <x:c r="L8" s="13" t="str">
        <x:v>Results → discussion/limitations</x:v>
      </x:c>
      <x:c r="M8" s="13" t="str">
        <x:v>Declarations → references</x:v>
      </x:c>
      <x:c r="N8" s="13" t="str">
        <x:v>S: negative findings retained</x:v>
      </x:c>
    </x:row>
    <x:row r="9">
      <x:c r="A9" s="21" t="n">
        <x:v>5</x:v>
      </x:c>
      <x:c r="B9" s="21" t="n">
        <x:v>2025</x:v>
      </x:c>
      <x:c r="C9" s="13" t="str">
        <x:v>Human-in-the-loop reinforcement learning for dynamic soaring</x:v>
      </x:c>
      <x:c r="D9" s="13" t="str">
        <x:v>10.1016/j.engappai.2025.111219</x:v>
      </x:c>
      <x:c r="E9" s="21" t="n">
        <x:v>19</x:v>
      </x:c>
      <x:c r="F9" s="21" t="str">
        <x:v>Yes</x:v>
      </x:c>
      <x:c r="G9" s="13" t="str">
        <x:v>Title → abstract → keywords</x:v>
      </x:c>
      <x:c r="H9" s="13" t="str">
        <x:v>Numbered, 1–3 levels</x:v>
      </x:c>
      <x:c r="I9" s="13" t="str">
        <x:v>When applicable</x:v>
      </x:c>
      <x:c r="J9" s="13" t="str">
        <x:v>Below figure</x:v>
      </x:c>
      <x:c r="K9" s="13" t="str">
        <x:v>Above table</x:v>
      </x:c>
      <x:c r="L9" s="13" t="str">
        <x:v>Dedicated limitations</x:v>
      </x:c>
      <x:c r="M9" s="13" t="str">
        <x:v>Declarations → references</x:v>
      </x:c>
      <x:c r="N9" s="13" t="str">
        <x:v>S: deployment boundary</x:v>
      </x:c>
    </x:row>
    <x:row r="10">
      <x:c r="A10" s="21" t="n">
        <x:v>6</x:v>
      </x:c>
      <x:c r="B10" s="21" t="n">
        <x:v>2025</x:v>
      </x:c>
      <x:c r="C10" s="13" t="str">
        <x:v>RL-based multi-perspective motion planning of manned eVTOL in urban wind fields</x:v>
      </x:c>
      <x:c r="D10" s="13" t="str">
        <x:v>10.1016/j.engappai.2025.110392</x:v>
      </x:c>
      <x:c r="E10" s="21" t="n">
        <x:v>17</x:v>
      </x:c>
      <x:c r="F10" s="21" t="str">
        <x:v>Yes</x:v>
      </x:c>
      <x:c r="G10" s="13" t="str">
        <x:v>Title → abstract → keywords</x:v>
      </x:c>
      <x:c r="H10" s="13" t="str">
        <x:v>Numbered, 1–3 levels</x:v>
      </x:c>
      <x:c r="I10" s="13" t="str">
        <x:v>When applicable</x:v>
      </x:c>
      <x:c r="J10" s="13" t="str">
        <x:v>Below figure</x:v>
      </x:c>
      <x:c r="K10" s="13" t="str">
        <x:v>Above table</x:v>
      </x:c>
      <x:c r="L10" s="13" t="str">
        <x:v>Results → limitations</x:v>
      </x:c>
      <x:c r="M10" s="13" t="str">
        <x:v>Declarations → references</x:v>
      </x:c>
      <x:c r="N10" s="13" t="str">
        <x:v>S: comparator wins visible</x:v>
      </x:c>
    </x:row>
    <x:row r="11">
      <x:c r="A11" s="21" t="n">
        <x:v>7</x:v>
      </x:c>
      <x:c r="B11" s="21" t="n">
        <x:v>2024</x:v>
      </x:c>
      <x:c r="C11" s="13" t="str">
        <x:v>Path planning via reinforcement learning with closed-loop motion control and field tests</x:v>
      </x:c>
      <x:c r="D11" s="13" t="str">
        <x:v>10.1016/j.engappai.2024.109870</x:v>
      </x:c>
      <x:c r="E11" s="21" t="n">
        <x:v>13</x:v>
      </x:c>
      <x:c r="F11" s="21" t="str">
        <x:v>Yes</x:v>
      </x:c>
      <x:c r="G11" s="13" t="str">
        <x:v>Title → abstract → keywords</x:v>
      </x:c>
      <x:c r="H11" s="13" t="str">
        <x:v>Numbered, 1–3 levels</x:v>
      </x:c>
      <x:c r="I11" s="13" t="str">
        <x:v>When applicable</x:v>
      </x:c>
      <x:c r="J11" s="13" t="str">
        <x:v>Below figure</x:v>
      </x:c>
      <x:c r="K11" s="13" t="str">
        <x:v>Above table</x:v>
      </x:c>
      <x:c r="L11" s="13" t="str">
        <x:v>Simulation and field claims separated</x:v>
      </x:c>
      <x:c r="M11" s="13" t="str">
        <x:v>Declarations → references</x:v>
      </x:c>
      <x:c r="N11" s="13" t="str">
        <x:v>S: validation tiers</x:v>
      </x:c>
    </x:row>
    <x:row r="12">
      <x:c r="A12" s="21" t="n">
        <x:v>8</x:v>
      </x:c>
      <x:c r="B12" s="21" t="n">
        <x:v>2024</x:v>
      </x:c>
      <x:c r="C12" s="13" t="str">
        <x:v>Layered learning in a quadrotor drone using FOPID and PPO</x:v>
      </x:c>
      <x:c r="D12" s="13" t="str">
        <x:v>10.1016/j.engappai.2024.108926</x:v>
      </x:c>
      <x:c r="E12" s="21" t="n">
        <x:v>19</x:v>
      </x:c>
      <x:c r="F12" s="21" t="str">
        <x:v>Yes</x:v>
      </x:c>
      <x:c r="G12" s="13" t="str">
        <x:v>Title → abstract → keywords</x:v>
      </x:c>
      <x:c r="H12" s="13" t="str">
        <x:v>Numbered, 1–3 levels</x:v>
      </x:c>
      <x:c r="I12" s="13" t="str">
        <x:v>When applicable</x:v>
      </x:c>
      <x:c r="J12" s="13" t="str">
        <x:v>Below figure</x:v>
      </x:c>
      <x:c r="K12" s="13" t="str">
        <x:v>Above table</x:v>
      </x:c>
      <x:c r="L12" s="13" t="str">
        <x:v>Results with limitations</x:v>
      </x:c>
      <x:c r="M12" s="13" t="str">
        <x:v>Declarations → references</x:v>
      </x:c>
      <x:c r="N12" s="13" t="str">
        <x:v>O: paper-specific layered layout</x:v>
      </x:c>
    </x:row>
    <x:row r="13">
      <x:c r="A13" s="21" t="n">
        <x:v>9</x:v>
      </x:c>
      <x:c r="B13" s="21" t="n">
        <x:v>2024</x:v>
      </x:c>
      <x:c r="C13" s="13" t="str">
        <x:v>RL robot navigation using illegal actions for autonomous docking</x:v>
      </x:c>
      <x:c r="D13" s="13" t="str">
        <x:v>10.1016/j.engappai.2024.108506</x:v>
      </x:c>
      <x:c r="E13" s="21" t="n">
        <x:v>20</x:v>
      </x:c>
      <x:c r="F13" s="21" t="str">
        <x:v>Yes</x:v>
      </x:c>
      <x:c r="G13" s="13" t="str">
        <x:v>Title → abstract → keywords</x:v>
      </x:c>
      <x:c r="H13" s="13" t="str">
        <x:v>Numbered, 1–3 levels</x:v>
      </x:c>
      <x:c r="I13" s="13" t="str">
        <x:v>When applicable</x:v>
      </x:c>
      <x:c r="J13" s="13" t="str">
        <x:v>Below figure</x:v>
      </x:c>
      <x:c r="K13" s="13" t="str">
        <x:v>Above table</x:v>
      </x:c>
      <x:c r="L13" s="13" t="str">
        <x:v>Tiered results and discussion</x:v>
      </x:c>
      <x:c r="M13" s="13" t="str">
        <x:v>Declarations → references</x:v>
      </x:c>
      <x:c r="N13" s="13" t="str">
        <x:v>S: action-mask evidence</x:v>
      </x:c>
    </x:row>
    <x:row r="14">
      <x:c r="A14" s="21" t="n">
        <x:v>10</x:v>
      </x:c>
      <x:c r="B14" s="21" t="n">
        <x:v>2024</x:v>
      </x:c>
      <x:c r="C14" s="13" t="str">
        <x:v>Reliable traversability learning based on demonstrated risk-cost mapping</x:v>
      </x:c>
      <x:c r="D14" s="13" t="str">
        <x:v>10.1016/j.engappai.2024.109339</x:v>
      </x:c>
      <x:c r="E14" s="21" t="n">
        <x:v>10</x:v>
      </x:c>
      <x:c r="F14" s="21" t="str">
        <x:v>Yes</x:v>
      </x:c>
      <x:c r="G14" s="13" t="str">
        <x:v>Title → abstract → keywords</x:v>
      </x:c>
      <x:c r="H14" s="13" t="str">
        <x:v>Numbered, 1–3 levels</x:v>
      </x:c>
      <x:c r="I14" s="13" t="str">
        <x:v>When applicable</x:v>
      </x:c>
      <x:c r="J14" s="13" t="str">
        <x:v>Below figure</x:v>
      </x:c>
      <x:c r="K14" s="13" t="str">
        <x:v>Above table</x:v>
      </x:c>
      <x:c r="L14" s="13" t="str">
        <x:v>Results → limitations</x:v>
      </x:c>
      <x:c r="M14" s="13" t="str">
        <x:v>Declarations → references</x:v>
      </x:c>
      <x:c r="N14" s="13" t="str">
        <x:v>S: engineering trade-off</x:v>
      </x:c>
    </x:row>
    <x:row r="15">
      <x:c r="A15" s="21" t="n">
        <x:v>11</x:v>
      </x:c>
      <x:c r="B15" s="21" t="n">
        <x:v>2023</x:v>
      </x:c>
      <x:c r="C15" s="13" t="str">
        <x:v>Subtask-masked curriculum learning for UAV maneuver decision-making</x:v>
      </x:c>
      <x:c r="D15" s="13" t="str">
        <x:v>10.1016/j.engappai.2023.106703</x:v>
      </x:c>
      <x:c r="E15" s="21" t="n">
        <x:v>14</x:v>
      </x:c>
      <x:c r="F15" s="21" t="str">
        <x:v>Yes</x:v>
      </x:c>
      <x:c r="G15" s="13" t="str">
        <x:v>Title → abstract → keywords</x:v>
      </x:c>
      <x:c r="H15" s="13" t="str">
        <x:v>Numbered, 1–3 levels</x:v>
      </x:c>
      <x:c r="I15" s="13" t="str">
        <x:v>When applicable</x:v>
      </x:c>
      <x:c r="J15" s="13" t="str">
        <x:v>Below figure</x:v>
      </x:c>
      <x:c r="K15" s="13" t="str">
        <x:v>Above table</x:v>
      </x:c>
      <x:c r="L15" s="13" t="str">
        <x:v>Question-led results → limitations</x:v>
      </x:c>
      <x:c r="M15" s="13" t="str">
        <x:v>Declarations → references</x:v>
      </x:c>
      <x:c r="N15" s="13" t="str">
        <x:v>S: uncertainty and transfer limits</x:v>
      </x:c>
    </x:row>
    <x:row r="16">
      <x:c r="A16" s="21" t="n">
        <x:v>12</x:v>
      </x:c>
      <x:c r="B16" s="21" t="n">
        <x:v>2023</x:v>
      </x:c>
      <x:c r="C16" s="13" t="str">
        <x:v>Multi-UAV trajectory optimizer for wireless data harvesting</x:v>
      </x:c>
      <x:c r="D16" s="13" t="str">
        <x:v>10.1016/j.engappai.2023.105891</x:v>
      </x:c>
      <x:c r="E16" s="21" t="n">
        <x:v>11</x:v>
      </x:c>
      <x:c r="F16" s="21" t="str">
        <x:v>Yes</x:v>
      </x:c>
      <x:c r="G16" s="13" t="str">
        <x:v>Title → abstract → keywords</x:v>
      </x:c>
      <x:c r="H16" s="13" t="str">
        <x:v>Numbered, 1–3 levels</x:v>
      </x:c>
      <x:c r="I16" s="13" t="str">
        <x:v>When applicable</x:v>
      </x:c>
      <x:c r="J16" s="13" t="str">
        <x:v>Below figure</x:v>
      </x:c>
      <x:c r="K16" s="13" t="str">
        <x:v>Above table</x:v>
      </x:c>
      <x:c r="L16" s="13" t="str">
        <x:v>Results → trade-offs</x:v>
      </x:c>
      <x:c r="M16" s="13" t="str">
        <x:v>Declarations → references</x:v>
      </x:c>
      <x:c r="N16" s="13" t="str">
        <x:v>S: resource-aware narrative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45" hidden="0" customWidth="1"/>
    <x:col min="5" max="5" width="45" hidden="0" customWidth="1"/>
    <x:col min="6" max="6" width="20" hidden="0" customWidth="1"/>
  </x:cols>
  <x:sheetData>
    <x:row r="1" ht="27" customHeight="1">
      <x:c r="A1" s="2" t="str">
        <x:v>Format rules and transfer gate</x:v>
      </x:c>
      <x:c r="B1" s="2"/>
      <x:c r="C1" s="2"/>
      <x:c r="D1" s="2"/>
      <x:c r="E1" s="2"/>
      <x:c r="F1" s="2"/>
    </x:row>
    <x:row r="2" ht="34" customHeight="1">
      <x:c r="A2" s="5" t="str">
        <x:v>Only H and sufficiently stable S items control the author manuscript. O items are excluded or confined to the reading proof.</x:v>
      </x:c>
      <x:c r="B2" s="5"/>
      <x:c r="C2" s="5"/>
      <x:c r="D2" s="5"/>
      <x:c r="E2" s="5"/>
      <x:c r="F2" s="5"/>
    </x:row>
    <x:row r="4">
      <x:c r="A4" s="9" t="str">
        <x:v>ID</x:v>
      </x:c>
      <x:c r="B4" s="9" t="str">
        <x:v>Class</x:v>
      </x:c>
      <x:c r="C4" s="9" t="str">
        <x:v>Evidence</x:v>
      </x:c>
      <x:c r="D4" s="9" t="str">
        <x:v>Observed / required format</x:v>
      </x:c>
      <x:c r="E4" s="9" t="str">
        <x:v>v3 application</x:v>
      </x:c>
      <x:c r="F4" s="9" t="str">
        <x:v>Status</x:v>
      </x:c>
    </x:row>
    <x:row r="5">
      <x:c r="A5" s="13" t="str">
        <x:v>H01</x:v>
      </x:c>
      <x:c r="B5" s="13" t="str">
        <x:v>H</x:v>
      </x:c>
      <x:c r="C5" s="13" t="str">
        <x:v>Official guide</x:v>
      </x:c>
      <x:c r="D5" s="13" t="str">
        <x:v>Single-column Word author manuscript</x:v>
      </x:c>
      <x:c r="E5" s="13" t="str">
        <x:v>Apply to EAAI_manuscript_anonymized_v3.docx</x:v>
      </x:c>
      <x:c r="F5" s="13" t="str">
        <x:v>Applied</x:v>
      </x:c>
    </x:row>
    <x:row r="6">
      <x:c r="A6" s="13" t="str">
        <x:v>H02</x:v>
      </x:c>
      <x:c r="B6" s="13" t="str">
        <x:v>H</x:v>
      </x:c>
      <x:c r="C6" s="13" t="str">
        <x:v>Official guide</x:v>
      </x:c>
      <x:c r="D6" s="13" t="str">
        <x:v>Non-structured abstract; ≤250 words; 1–6 keywords</x:v>
      </x:c>
      <x:c r="E6" s="13" t="str">
        <x:v>Keep abstract and keywords adjacent</x:v>
      </x:c>
      <x:c r="F6" s="13" t="str">
        <x:v>Applied</x:v>
      </x:c>
    </x:row>
    <x:row r="7">
      <x:c r="A7" s="13" t="str">
        <x:v>H03</x:v>
      </x:c>
      <x:c r="B7" s="13" t="str">
        <x:v>H</x:v>
      </x:c>
      <x:c r="C7" s="13" t="str">
        <x:v>Double-anonymized review</x:v>
      </x:c>
      <x:c r="D7" s="13" t="str">
        <x:v>Remove authors, affiliations and identity-bearing headers from manuscript</x:v>
      </x:c>
      <x:c r="E7" s="13" t="str">
        <x:v>Title page remains separate</x:v>
      </x:c>
      <x:c r="F7" s="13" t="str">
        <x:v>Applied</x:v>
      </x:c>
    </x:row>
    <x:row r="8">
      <x:c r="A8" s="13" t="str">
        <x:v>S01</x:v>
      </x:c>
      <x:c r="B8" s="13" t="str">
        <x:v>S</x:v>
      </x:c>
      <x:c r="C8" s="13" t="str">
        <x:v>12/12 comparable</x:v>
      </x:c>
      <x:c r="D8" s="13" t="str">
        <x:v>Numbered section hierarchy with sentence-case headings</x:v>
      </x:c>
      <x:c r="E8" s="13" t="str">
        <x:v>Retain eight-section scientific structure</x:v>
      </x:c>
      <x:c r="F8" s="13" t="str">
        <x:v>Applied</x:v>
      </x:c>
    </x:row>
    <x:row r="9">
      <x:c r="A9" s="13" t="str">
        <x:v>S02</x:v>
      </x:c>
      <x:c r="B9" s="13" t="str">
        <x:v>S</x:v>
      </x:c>
      <x:c r="C9" s="13" t="str">
        <x:v>12/12</x:v>
      </x:c>
      <x:c r="D9" s="13" t="str">
        <x:v>Figures near claims; captions below</x:v>
      </x:c>
      <x:c r="E9" s="13" t="str">
        <x:v>Eight evidence units placed at first substantive discussion</x:v>
      </x:c>
      <x:c r="F9" s="13" t="str">
        <x:v>Applied</x:v>
      </x:c>
    </x:row>
    <x:row r="10">
      <x:c r="A10" s="13" t="str">
        <x:v>S03</x:v>
      </x:c>
      <x:c r="B10" s="13" t="str">
        <x:v>S</x:v>
      </x:c>
      <x:c r="C10" s="13" t="str">
        <x:v>12/12</x:v>
      </x:c>
      <x:c r="D10" s="13" t="str">
        <x:v>Table titles above; compact horizontal rules and repeated headers</x:v>
      </x:c>
      <x:c r="E10" s="13" t="str">
        <x:v>Use author-manuscript tables, not publisher artwork</x:v>
      </x:c>
      <x:c r="F10" s="13" t="str">
        <x:v>Applied</x:v>
      </x:c>
    </x:row>
    <x:row r="11">
      <x:c r="A11" s="13" t="str">
        <x:v>S04</x:v>
      </x:c>
      <x:c r="B11" s="13" t="str">
        <x:v>S</x:v>
      </x:c>
      <x:c r="C11" s="13" t="str">
        <x:v>12/12</x:v>
      </x:c>
      <x:c r="D11" s="13" t="str">
        <x:v>Equations editable and numbered where referred to</x:v>
      </x:c>
      <x:c r="E11" s="13" t="str">
        <x:v>SWC inserted as editable Word equation (1)</x:v>
      </x:c>
      <x:c r="F11" s="13" t="str">
        <x:v>Applied</x:v>
      </x:c>
    </x:row>
    <x:row r="12">
      <x:c r="A12" s="13" t="str">
        <x:v>S05</x:v>
      </x:c>
      <x:c r="B12" s="13" t="str">
        <x:v>S</x:v>
      </x:c>
      <x:c r="C12" s="13" t="str">
        <x:v>11/12</x:v>
      </x:c>
      <x:c r="D12" s="13" t="str">
        <x:v>Dedicated limitations and bounded deployment claims</x:v>
      </x:c>
      <x:c r="E12" s="13" t="str">
        <x:v>Keep Discussion and limitations section</x:v>
      </x:c>
      <x:c r="F12" s="13" t="str">
        <x:v>Applied</x:v>
      </x:c>
    </x:row>
    <x:row r="13">
      <x:c r="A13" s="13" t="str">
        <x:v>O01</x:v>
      </x:c>
      <x:c r="B13" s="13" t="str">
        <x:v>O</x:v>
      </x:c>
      <x:c r="C13" s="13" t="str">
        <x:v>12/12 published PDFs</x:v>
      </x:c>
      <x:c r="D13" s="13" t="str">
        <x:v>Two-column publisher typesetting</x:v>
      </x:c>
      <x:c r="E13" s="13" t="str">
        <x:v>Use only in separately labelled reading proof</x:v>
      </x:c>
      <x:c r="F13" s="13" t="str">
        <x:v>Preview only</x:v>
      </x:c>
    </x:row>
    <x:row r="14">
      <x:c r="A14" s="13" t="str">
        <x:v>O02</x:v>
      </x:c>
      <x:c r="B14" s="13" t="str">
        <x:v>O</x:v>
      </x:c>
      <x:c r="C14" s="13" t="str">
        <x:v>Publisher production</x:v>
      </x:c>
      <x:c r="D14" s="13" t="str">
        <x:v>Elsevier logo, article information, DOI header, volume/issue</x:v>
      </x:c>
      <x:c r="E14" s="13" t="str">
        <x:v>Do not reproduce in author manuscript or proof</x:v>
      </x:c>
      <x:c r="F14" s="13" t="str">
        <x:v>Excluded</x:v>
      </x:c>
    </x:row>
    <x:row r="15">
      <x:c r="A15" s="13" t="str">
        <x:v>O03</x:v>
      </x:c>
      <x:c r="B15" s="13" t="str">
        <x:v>O</x:v>
      </x:c>
      <x:c r="C15" s="13" t="str">
        <x:v>Paper-specific</x:v>
      </x:c>
      <x:c r="D15" s="13" t="str">
        <x:v>Exact panel sizing, running heads and reference line breaks</x:v>
      </x:c>
      <x:c r="E15" s="13" t="str">
        <x:v>Do not imitate; let author manuscript reflow</x:v>
      </x:c>
      <x:c r="F15" s="13" t="str">
        <x:v>Excluded</x:v>
      </x:c>
    </x:row>
  </x:sheetData>
  <x:mergeCells>
    <x:mergeCell ref="A1:F1"/>
    <x:mergeCell ref="A2:F2"/>
  </x:mergeCells>
  <x:conditionalFormatting sqref="B5:B15">
    <x:cfRule type="containsText" dxfId="0" priority="1" operator="containsText" text="H"/>
    <x:cfRule type="containsText" dxfId="1" priority="2" operator="containsText" text="S"/>
    <x:cfRule type="containsText" dxfId="2" priority="3" operator="containsText" text="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32" hidden="0" customWidth="1"/>
    <x:col min="4" max="4" width="32" hidden="0" customWidth="1"/>
  </x:cols>
  <x:sheetData>
    <x:row r="1" ht="27" customHeight="1">
      <x:c r="A1" s="2" t="str">
        <x:v>v3 application profile</x:v>
      </x:c>
      <x:c r="B1" s="2"/>
      <x:c r="C1" s="2"/>
      <x:c r="D1" s="2"/>
    </x:row>
    <x:row r="2" ht="34" customHeight="1">
      <x:c r="A2" s="5" t="str">
        <x:v>Concrete format decisions derived from official rules, stable conventions and the user-approved v3 plan.</x:v>
      </x:c>
      <x:c r="B2" s="5"/>
      <x:c r="C2" s="5"/>
      <x:c r="D2" s="5"/>
    </x:row>
    <x:row r="4">
      <x:c r="A4" s="9" t="str">
        <x:v>Element</x:v>
      </x:c>
      <x:c r="B4" s="9" t="str">
        <x:v>v3 setting</x:v>
      </x:c>
      <x:c r="C4" s="9" t="str">
        <x:v>Basis</x:v>
      </x:c>
      <x:c r="D4" s="9" t="str">
        <x:v>Files</x:v>
      </x:c>
    </x:row>
    <x:row r="5">
      <x:c r="A5" s="13" t="str">
        <x:v>Page size</x:v>
      </x:c>
      <x:c r="B5" s="13" t="str">
        <x:v>A4</x:v>
      </x:c>
      <x:c r="C5" s="13" t="str">
        <x:v>H / plan v3</x:v>
      </x:c>
      <x:c r="D5" s="13" t="str">
        <x:v>English and Chinese single-column manuscripts</x:v>
      </x:c>
    </x:row>
    <x:row r="6">
      <x:c r="A6" s="13" t="str">
        <x:v>Body text</x:v>
      </x:c>
      <x:c r="B6" s="13" t="str">
        <x:v>Times New Roman 11 pt, 1.5 spacing</x:v>
      </x:c>
      <x:c r="C6" s="13" t="str">
        <x:v>Plan v3</x:v>
      </x:c>
      <x:c r="D6" s="13" t="str">
        <x:v>English submission manuscript</x:v>
      </x:c>
    </x:row>
    <x:row r="7">
      <x:c r="A7" s="13" t="str">
        <x:v>Chinese body</x:v>
      </x:c>
      <x:c r="B7" s="13" t="str">
        <x:v>宋体 + Times New Roman for Latin/numerals</x:v>
      </x:c>
      <x:c r="C7" s="13" t="str">
        <x:v>Plan v3</x:v>
      </x:c>
      <x:c r="D7" s="13" t="str">
        <x:v>Chinese author-review manuscript</x:v>
      </x:c>
    </x:row>
    <x:row r="8">
      <x:c r="A8" s="13" t="str">
        <x:v>Headings</x:v>
      </x:c>
      <x:c r="B8" s="13" t="str">
        <x:v>Black, left aligned, sentence case</x:v>
      </x:c>
      <x:c r="C8" s="13" t="str">
        <x:v>S + plan v3</x:v>
      </x:c>
      <x:c r="D8" s="13" t="str">
        <x:v>All v3 documents</x:v>
      </x:c>
    </x:row>
    <x:row r="9">
      <x:c r="A9" s="13" t="str">
        <x:v>Figures</x:v>
      </x:c>
      <x:c r="B9" s="13" t="str">
        <x:v>Near first substantive citation; caption below</x:v>
      </x:c>
      <x:c r="C9" s="13" t="str">
        <x:v>S02</x:v>
      </x:c>
      <x:c r="D9" s="13" t="str">
        <x:v>Main and supplement</x:v>
      </x:c>
    </x:row>
    <x:row r="10">
      <x:c r="A10" s="13" t="str">
        <x:v>Tables</x:v>
      </x:c>
      <x:c r="B10" s="13" t="str">
        <x:v>Title above; repeated header; restrained rules</x:v>
      </x:c>
      <x:c r="C10" s="13" t="str">
        <x:v>S03</x:v>
      </x:c>
      <x:c r="D10" s="13" t="str">
        <x:v>Main and supplement</x:v>
      </x:c>
    </x:row>
    <x:row r="11">
      <x:c r="A11" s="13" t="str">
        <x:v>Equation</x:v>
      </x:c>
      <x:c r="B11" s="13" t="str">
        <x:v>Editable OMML, centered, number at right</x:v>
      </x:c>
      <x:c r="C11" s="13" t="str">
        <x:v>S04</x:v>
      </x:c>
      <x:c r="D11" s="13" t="str">
        <x:v>SWC equation (1)</x:v>
      </x:c>
    </x:row>
    <x:row r="12">
      <x:c r="A12" s="13" t="str">
        <x:v>References</x:v>
      </x:c>
      <x:c r="B12" s="13" t="str">
        <x:v>Author–year, hanging indent, original English metadata</x:v>
      </x:c>
      <x:c r="C12" s="13" t="str">
        <x:v>H / translation rule</x:v>
      </x:c>
      <x:c r="D12" s="13" t="str">
        <x:v>English and Chinese manuscripts</x:v>
      </x:c>
    </x:row>
    <x:row r="13">
      <x:c r="A13" s="13" t="str">
        <x:v>Reading proof</x:v>
      </x:c>
      <x:c r="B13" s="13" t="str">
        <x:v>English two-column; explicit non-publisher header</x:v>
      </x:c>
      <x:c r="C13" s="13" t="str">
        <x:v>O01 boundary</x:v>
      </x:c>
      <x:c r="D13" s="13" t="str">
        <x:v>Not for submission</x:v>
      </x:c>
    </x:row>
    <x:row r="14">
      <x:c r="A14" s="13" t="str">
        <x:v>Prohibited production marks</x:v>
      </x:c>
      <x:c r="B14" s="13" t="str">
        <x:v>No logo, article info, fake DOI or volume/issue</x:v>
      </x:c>
      <x:c r="C14" s="13" t="str">
        <x:v>O02</x:v>
      </x:c>
      <x:c r="D14" s="13" t="str">
        <x:v>All author-produced files</x:v>
      </x:c>
    </x:row>
  </x:sheetData>
  <x:mergeCells>
    <x:mergeCell ref="A1:D1"/>
    <x:mergeCell ref="A2:D2"/>
  </x:mergeCells>
  <x:pageMargins left="0.7" right="0.7" top="0.75" bottom="0.75" header="0.3" footer="0.3"/>
</x:worksheet>
</file>